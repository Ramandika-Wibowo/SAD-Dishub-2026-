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&amp; Profil Media" sheetId="1" state="visible" r:id="rId1"/>
    <sheet xmlns:r="http://schemas.openxmlformats.org/officeDocument/2006/relationships" name="Pertanyaan Wawancara" sheetId="2" state="visible" r:id="rId2"/>
    <sheet xmlns:r="http://schemas.openxmlformats.org/officeDocument/2006/relationships" name="RAB - Biaya Produksi" sheetId="3" state="visible" r:id="rId3"/>
    <sheet xmlns:r="http://schemas.openxmlformats.org/officeDocument/2006/relationships" name="PER FITUR" sheetId="4" state="visible" r:id="rId4"/>
    <sheet xmlns:r="http://schemas.openxmlformats.org/officeDocument/2006/relationships" name="Sumber Dana" sheetId="5" state="visible" r:id="rId5"/>
    <sheet xmlns:r="http://schemas.openxmlformats.org/officeDocument/2006/relationships" name="Skema Harga ke Kli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p &quot;#,##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D4ED8"/>
      <sz val="14"/>
    </font>
    <font>
      <name val="Calibri"/>
      <i val="1"/>
      <color rgb="0064748B"/>
      <sz val="10"/>
    </font>
    <font>
      <name val="Calibri"/>
      <b val="1"/>
      <color rgb="001D4ED8"/>
      <sz val="11"/>
    </font>
    <font>
      <name val="Calibri"/>
      <b val="1"/>
      <color rgb="001E293B"/>
      <sz val="9"/>
    </font>
    <font>
      <name val="Calibri"/>
      <color rgb="001E293B"/>
      <sz val="9"/>
    </font>
    <font>
      <name val="Calibri"/>
      <color rgb="0064748B"/>
      <sz val="8.5"/>
    </font>
    <font>
      <name val="Calibri"/>
      <b val="1"/>
      <color rgb="00FFFFFF"/>
      <sz val="9"/>
    </font>
    <font>
      <name val="Calibri"/>
      <b val="1"/>
      <color rgb="001D4ED8"/>
      <sz val="10"/>
    </font>
    <font>
      <name val="Calibri"/>
      <b val="1"/>
      <color rgb="00B91C1C"/>
      <sz val="9"/>
    </font>
  </fonts>
  <fills count="8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D4ED8"/>
        <bgColor rgb="001D4ED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D4ED8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0" fillId="6" borderId="2" pivotButton="0" quotePrefix="0" xfId="0"/>
    <xf numFmtId="0" fontId="8" fillId="6" borderId="2" pivotButton="0" quotePrefix="0" xfId="0"/>
    <xf numFmtId="0" fontId="6" fillId="6" borderId="2" pivotButton="0" quotePrefix="0" xfId="0"/>
    <xf numFmtId="164" fontId="8" fillId="6" borderId="2" applyAlignment="1" pivotButton="0" quotePrefix="0" xfId="0">
      <alignment horizontal="right" vertical="center"/>
    </xf>
    <xf numFmtId="0" fontId="4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0" borderId="0" pivotButton="0" quotePrefix="0" xfId="0"/>
    <xf numFmtId="0" fontId="0" fillId="4" borderId="1" pivotButton="0" quotePrefix="0" xfId="0"/>
    <xf numFmtId="0" fontId="6" fillId="4" borderId="1" pivotButton="0" quotePrefix="0" xfId="0"/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right" vertical="center"/>
    </xf>
    <xf numFmtId="0" fontId="4" fillId="0" borderId="1" pivotButton="0" quotePrefix="0" xfId="0"/>
    <xf numFmtId="164" fontId="4" fillId="0" borderId="1" applyAlignment="1" pivotButton="0" quotePrefix="0" xfId="0">
      <alignment horizontal="right" vertical="center"/>
    </xf>
    <xf numFmtId="0" fontId="8" fillId="7" borderId="2" pivotButton="0" quotePrefix="0" xfId="0"/>
    <xf numFmtId="164" fontId="8" fillId="7" borderId="2" applyAlignment="1" pivotButton="0" quotePrefix="0" xfId="0">
      <alignment horizontal="right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8" fillId="6" borderId="2" applyAlignment="1" pivotButton="0" quotePrefix="0" xfId="0">
      <alignment horizontal="center" vertical="center"/>
    </xf>
    <xf numFmtId="0" fontId="4" fillId="2" borderId="1" pivotButton="0" quotePrefix="0" xfId="0"/>
    <xf numFmtId="164" fontId="4" fillId="2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center" vertical="center"/>
    </xf>
    <xf numFmtId="0" fontId="6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6" customWidth="1" min="2" max="2"/>
    <col width="30" customWidth="1" min="3" max="3"/>
    <col width="45" customWidth="1" min="4" max="4"/>
    <col width="30" customWidth="1" min="5" max="5"/>
    <col width="20" customWidth="1" min="6" max="6"/>
    <col width="20" customWidth="1" min="7" max="7"/>
    <col width="40" customWidth="1" min="8" max="8"/>
  </cols>
  <sheetData>
    <row r="2">
      <c r="B2" s="1" t="inlineStr">
        <is>
          <t>PROFIL TARGET PERUSAHAAN &amp; BENCHMARK PENGEMBANGAN SOFTWARE</t>
        </is>
      </c>
    </row>
    <row r="3">
      <c r="B3" s="2" t="inlineStr">
        <is>
          <t>Tugas Capstone SAD 2026: Sistem E-Internship Suara Surabaya Media</t>
        </is>
      </c>
    </row>
    <row r="5">
      <c r="B5" s="3" t="inlineStr">
        <is>
          <t>A. IDENTITAS &amp; PROFIL TARGET PERUSAHAAN</t>
        </is>
      </c>
    </row>
    <row r="6">
      <c r="B6" s="4" t="inlineStr">
        <is>
          <t>Nama Perusahaan</t>
        </is>
      </c>
      <c r="C6" s="5" t="inlineStr">
        <is>
          <t>PT Radio Suara Surabaya (Suara Surabaya Media)</t>
        </is>
      </c>
    </row>
    <row r="7">
      <c r="B7" s="4" t="inlineStr">
        <is>
          <t>Bidang Usaha</t>
        </is>
      </c>
      <c r="C7" s="5" t="inlineStr">
        <is>
          <t>Media Massa Penyiaran Radio Terestrial (FM 100), Portal Berita Digital (suarasurabaya.net), Multimedia &amp; Live Event</t>
        </is>
      </c>
    </row>
    <row r="8">
      <c r="B8" s="4" t="inlineStr">
        <is>
          <t>Alamat Kantor</t>
        </is>
      </c>
      <c r="C8" s="5" t="inlineStr">
        <is>
          <t>Jl. Raya Wonokitri No. 40, Sawahan, Surabaya, Jawa Timur 60256</t>
        </is>
      </c>
    </row>
    <row r="9">
      <c r="B9" s="4" t="inlineStr">
        <is>
          <t>Karakteristik Operasional</t>
        </is>
      </c>
      <c r="C9" s="5" t="inlineStr">
        <is>
          <t>Pusat informasi publik lalu lintas &amp; berita Jawa Timur dengan volume pelamar magang/PKL mencapai ratusan mahasiswa per semester</t>
        </is>
      </c>
    </row>
    <row r="10">
      <c r="B10" s="4" t="inlineStr">
        <is>
          <t>Divisi Penerima Magang</t>
        </is>
      </c>
      <c r="C10" s="5" t="inlineStr">
        <is>
          <t>1. Radio On-Air / Gatekeeper, 2. Redaksi Berita Online, 3. Social Media &amp; Multimedia, 4. IT &amp; Web Dev, 5. Traffic &amp; Promosi</t>
        </is>
      </c>
    </row>
    <row r="11">
      <c r="B11" s="4" t="inlineStr">
        <is>
          <t>Masalah Operasional Utama</t>
        </is>
      </c>
      <c r="C11" s="5" t="inlineStr">
        <is>
          <t>Pendaftaran magang masih manual via email/WhatsApp pribadi, berkas tercecer, kuota divisi tidak transparan, dan verifikasi memakan waktu lama</t>
        </is>
      </c>
    </row>
    <row r="12">
      <c r="B12" s="4" t="inlineStr">
        <is>
          <t>Solusi yang Dibangun</t>
        </is>
      </c>
      <c r="C12" s="5" t="inlineStr">
        <is>
          <t>Website E-Internship &amp; Talent Management System terintegrasi (Next.js 14 + Laravel 11 API + PostgreSQL 18)</t>
        </is>
      </c>
    </row>
    <row r="14">
      <c r="B14" s="3" t="inlineStr">
        <is>
          <t>B. BENCHMARK GAJI DEVELOPER &amp; PENETAPAN TARIF PER ORANG-HARI (OH)</t>
        </is>
      </c>
    </row>
    <row r="15">
      <c r="B15" s="6" t="inlineStr">
        <is>
          <t>Referensi Standar Gaji Industri TI Surabaya (UMK Surabaya 2026: ~Rp 5.200.000) &amp; Penyesuaian Tarif Proyek Akademik Capstone:</t>
        </is>
      </c>
    </row>
    <row r="16">
      <c r="B16" s="7" t="inlineStr">
        <is>
          <t>No.</t>
        </is>
      </c>
      <c r="C16" s="7" t="inlineStr">
        <is>
          <t>Peran Tim Pengembang</t>
        </is>
      </c>
      <c r="D16" s="7" t="inlineStr">
        <is>
          <t>Tanggung Jawab Teknis</t>
        </is>
      </c>
      <c r="E16" s="7" t="inlineStr">
        <is>
          <t>Standar Gaji Industri / Bulan</t>
        </is>
      </c>
      <c r="F16" s="7" t="inlineStr">
        <is>
          <t>Basis Harian Industri</t>
        </is>
      </c>
      <c r="G16" s="7" t="inlineStr">
        <is>
          <t>Tarif Dasar Capstone (OH)</t>
        </is>
      </c>
      <c r="H16" s="7" t="inlineStr">
        <is>
          <t>Dasar Acuan &amp; Referensi</t>
        </is>
      </c>
    </row>
    <row r="17">
      <c r="B17" s="8" t="n">
        <v>1</v>
      </c>
      <c r="C17" s="9" t="inlineStr">
        <is>
          <t>UI/UX Designer</t>
        </is>
      </c>
      <c r="D17" s="10" t="inlineStr">
        <is>
          <t>Riset user journey, wireframe, mockup Figma, styling tema Suara Surabaya Blue</t>
        </is>
      </c>
      <c r="E17" s="11" t="n">
        <v>4500000</v>
      </c>
      <c r="F17" s="11" t="n">
        <v>225000</v>
      </c>
      <c r="G17" s="12" t="n">
        <v>30000</v>
      </c>
      <c r="H17" s="10" t="inlineStr">
        <is>
          <t>Survei Gaji Desainer Junior Jatim / Glints &amp; Jobstreet 2026</t>
        </is>
      </c>
    </row>
    <row r="18">
      <c r="B18" s="13" t="n">
        <v>2</v>
      </c>
      <c r="C18" s="14" t="inlineStr">
        <is>
          <t>Full-Stack Web Developer</t>
        </is>
      </c>
      <c r="D18" s="15" t="inlineStr">
        <is>
          <t>Pembangunan frontend Next.js 14, backend Laravel 11 REST API, integrasi PostgreSQL</t>
        </is>
      </c>
      <c r="E18" s="16" t="n">
        <v>6000000</v>
      </c>
      <c r="F18" s="16" t="n">
        <v>300000</v>
      </c>
      <c r="G18" s="17" t="n">
        <v>50000</v>
      </c>
      <c r="H18" s="15" t="inlineStr">
        <is>
          <t>Standar UMK Surabaya + Skala Upah Programmer Asosiasi Software</t>
        </is>
      </c>
    </row>
    <row r="19">
      <c r="B19" s="8" t="n">
        <v>3</v>
      </c>
      <c r="C19" s="9" t="inlineStr">
        <is>
          <t>QA &amp; Testing Specialist</t>
        </is>
      </c>
      <c r="D19" s="10" t="inlineStr">
        <is>
          <t>Black-box testing, validasi form pendaftaran, pengujian alur verifikasi &amp; bug report</t>
        </is>
      </c>
      <c r="E19" s="11" t="n">
        <v>4000000</v>
      </c>
      <c r="F19" s="11" t="n">
        <v>200000</v>
      </c>
      <c r="G19" s="12" t="n">
        <v>20000</v>
      </c>
      <c r="H19" s="10" t="inlineStr">
        <is>
          <t>Standar Pengujian Perangkat Lunak Software Testing Institute</t>
        </is>
      </c>
    </row>
    <row r="22">
      <c r="B22" s="3" t="inlineStr">
        <is>
          <t>C. REFERENSI RESMI BIAYA INFRASTRUKTUR CLOUD &amp; DOMAIN</t>
        </is>
      </c>
    </row>
    <row r="23">
      <c r="B23" s="7" t="inlineStr">
        <is>
          <t>No.</t>
        </is>
      </c>
      <c r="C23" s="7" t="inlineStr">
        <is>
          <t>Komponen Infrastruktur</t>
        </is>
      </c>
      <c r="D23" s="7" t="inlineStr">
        <is>
          <t>Spesifikasi Layanan</t>
        </is>
      </c>
      <c r="E23" s="7" t="inlineStr">
        <is>
          <t>Penyedia / Vendor Resmi</t>
        </is>
      </c>
      <c r="F23" s="7" t="inlineStr">
        <is>
          <t>Biaya / Bulan</t>
        </is>
      </c>
      <c r="G23" s="7" t="inlineStr">
        <is>
          <t>Biaya / Tahun (Rp)</t>
        </is>
      </c>
      <c r="H23" s="7" t="inlineStr">
        <is>
          <t>Tautan / Referensi Resmi</t>
        </is>
      </c>
    </row>
    <row r="24">
      <c r="B24" s="8" t="n">
        <v>1</v>
      </c>
      <c r="C24" s="9" t="inlineStr">
        <is>
          <t>Cloud Server VPS (Compute)</t>
        </is>
      </c>
      <c r="D24" s="18" t="inlineStr">
        <is>
          <t>2 vCPU, 4GB RAM, 60GB NVMe SSD, Bandwidth 3TB</t>
        </is>
      </c>
      <c r="E24" s="18" t="inlineStr">
        <is>
          <t>Alibaba Cloud ECS / DigitalOcean Droplet</t>
        </is>
      </c>
      <c r="F24" s="11" t="n">
        <v>359333</v>
      </c>
      <c r="G24" s="12" t="n">
        <v>4312000</v>
      </c>
      <c r="H24" s="10" t="inlineStr">
        <is>
          <t>alibabacloud.com/product/ecs | digitalocean.com/pricing ($24/bln)</t>
        </is>
      </c>
    </row>
    <row r="25">
      <c r="B25" s="13" t="n">
        <v>2</v>
      </c>
      <c r="C25" s="14" t="inlineStr">
        <is>
          <t>Managed PostgreSQL Database</t>
        </is>
      </c>
      <c r="D25" s="19" t="inlineStr">
        <is>
          <t>Dedicated PostgreSQL Instance, Auto-Backup, High Availability</t>
        </is>
      </c>
      <c r="E25" s="19" t="inlineStr">
        <is>
          <t>Supabase Pro Plan / Alibaba ApsaraDB</t>
        </is>
      </c>
      <c r="F25" s="16" t="n">
        <v>449167</v>
      </c>
      <c r="G25" s="17" t="n">
        <v>5390000</v>
      </c>
      <c r="H25" s="15" t="inlineStr">
        <is>
          <t>supabase.com/pricing ($25/bln) | alibabacloud.com/product/rds-postgresql</t>
        </is>
      </c>
    </row>
    <row r="26">
      <c r="B26" s="8" t="n">
        <v>3</v>
      </c>
      <c r="C26" s="9" t="inlineStr">
        <is>
          <t>Domain Korporat &amp; SSL Certificate</t>
        </is>
      </c>
      <c r="D26" s="18" t="inlineStr">
        <is>
          <t>Domain .net / .co.id resmi + Wildcard SSL Certificate 1 Tahun</t>
        </is>
      </c>
      <c r="E26" s="18" t="inlineStr">
        <is>
          <t>Niagahoster / IDwebhost</t>
        </is>
      </c>
      <c r="F26" s="11" t="n">
        <v>62500</v>
      </c>
      <c r="G26" s="12" t="n">
        <v>750000</v>
      </c>
      <c r="H26" s="10" t="inlineStr">
        <is>
          <t>niagahoster.co.id/domain-murah &amp; idwebhost.com/ssl-murah</t>
        </is>
      </c>
    </row>
    <row r="27">
      <c r="B27" s="20" t="inlineStr"/>
      <c r="C27" s="21" t="inlineStr">
        <is>
          <t>TOTAL BIAYA INFRASTRUKTUR CLOUD KOMERSIAL</t>
        </is>
      </c>
      <c r="D27" s="22" t="inlineStr">
        <is>
          <t>Estimasi kebutuhan jika sewa cloud publik (1 Tahun)</t>
        </is>
      </c>
      <c r="E27" s="20" t="inlineStr"/>
      <c r="F27" s="23">
        <f>SUM(F24:F26)</f>
        <v/>
      </c>
      <c r="G27" s="23">
        <f>SUM(G24:G26)</f>
        <v/>
      </c>
      <c r="H27" s="22" t="inlineStr">
        <is>
          <t>Dihitung sebagai acuan CAPEX &amp; OPEX komparasi</t>
        </is>
      </c>
    </row>
    <row r="29">
      <c r="B29" s="24" t="inlineStr">
        <is>
          <t>Catatan Strategis Realisasi Pengadaan Suara Surabaya Media:</t>
        </is>
      </c>
    </row>
    <row r="30">
      <c r="B30" s="6" t="inlineStr">
        <is>
          <t>• Infrastruktur Server Eksisting: Suara Surabaya Media telah memiliki server fisik/VM on-premise sendiri di Datacenter Kampoeng Media SS (Wonokitri). Biaya pengadaan/sewa server = Rp 0,-.</t>
        </is>
      </c>
    </row>
    <row r="31">
      <c r="B31" s="6" t="inlineStr">
        <is>
          <t>• Database Engine: Menggunakan PostgreSQL Local RDBMS (Open Source) yang di-install langsung di server lokal SS Media. Biaya lisensi = Rp 0,-.</t>
        </is>
      </c>
    </row>
    <row r="32">
      <c r="B32" s="6" t="inlineStr">
        <is>
          <t>• Pengadaan Infrastruktur Riil: HANYA Domain Web Resmi (.id / .net) dan Sertifikat SSL seharga Rp 252.000,-/tahun (Registrar Niagahoster/PANDI).</t>
        </is>
      </c>
    </row>
    <row r="33">
      <c r="B33" s="6" t="inlineStr">
        <is>
          <t>• Notifikasi: Sistem TIDAK menggunakan WhatsApp API pihak ketiga, seluruh notifikasi status berjalan langsung via In-App Notification (tabel database) di web portal pelamar.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20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6" customWidth="1" min="2" max="2"/>
    <col width="22" customWidth="1" min="3" max="3"/>
    <col width="25" customWidth="1" min="4" max="4"/>
    <col width="32" customWidth="1" min="5" max="5"/>
    <col width="45" customWidth="1" min="6" max="6"/>
    <col width="45" customWidth="1" min="7" max="7"/>
    <col width="28" customWidth="1" min="8" max="8"/>
  </cols>
  <sheetData>
    <row r="2">
      <c r="B2" s="1" t="inlineStr">
        <is>
          <t>DAFTAR PERTANYAAN WAWANCARA &amp; TARGET EVALUASI APLIKASI</t>
        </is>
      </c>
    </row>
    <row r="3">
      <c r="B3" s="2" t="inlineStr">
        <is>
          <t>Narasumber: HRD &amp; Tim Redaksi Suara Surabaya Media | Kerangka Standar: ISO/IEC 25010 Software Quality</t>
        </is>
      </c>
    </row>
    <row r="5">
      <c r="B5" s="7" t="inlineStr">
        <is>
          <t>No.</t>
        </is>
      </c>
      <c r="C5" s="7" t="inlineStr">
        <is>
          <t>Kriteria / Aspek Evaluasi</t>
        </is>
      </c>
      <c r="D5" s="7" t="inlineStr">
        <is>
          <t>Modul / Fitur Sistem</t>
        </is>
      </c>
      <c r="E5" s="7" t="inlineStr">
        <is>
          <t>Tujuan Pitching Fitur</t>
        </is>
      </c>
      <c r="F5" s="7" t="inlineStr">
        <is>
          <t>Pertanyaan Wawancara (Kata Tanya di Awal, To The Point)</t>
        </is>
      </c>
      <c r="G5" s="7" t="inlineStr">
        <is>
          <t>Target Jawaban Narasumber</t>
        </is>
      </c>
      <c r="H5" s="7" t="inlineStr">
        <is>
          <t>Referensi Standar</t>
        </is>
      </c>
    </row>
    <row r="6">
      <c r="B6" s="8" t="n">
        <v>1</v>
      </c>
      <c r="C6" s="9" t="inlineStr">
        <is>
          <t>Kesesuaian Alur Bisnis</t>
        </is>
      </c>
      <c r="D6" s="18" t="inlineStr">
        <is>
          <t>Sistem E-Internship Terpadu</t>
        </is>
      </c>
      <c r="E6" s="10" t="inlineStr">
        <is>
          <t>Menggantikan pendaftaran manual via email/berkas fisik yang rawan tercecer dengan portal terpusat.</t>
        </is>
      </c>
      <c r="F6" s="25" t="inlineStr">
        <is>
          <t>Apakah Bapak/Ibu pernah menggunakan aplikasi sistem pendaftaran magang daring serupa sebelumnya di lingkungan Suara Surabaya Media?</t>
        </is>
      </c>
      <c r="G6" s="10" t="inlineStr">
        <is>
          <t>Belum pernah ada sistem khusus; selama ini pelamar mengirim berkas ke email redaksi atau datang langsung membawa surat fisik, lalu kami sortir manual di lemari arsip.</t>
        </is>
      </c>
      <c r="H6" s="10" t="inlineStr">
        <is>
          <t>ISO/IEC 25010 - Functional Completeness</t>
        </is>
      </c>
    </row>
    <row r="7">
      <c r="B7" s="13" t="n">
        <v>2</v>
      </c>
      <c r="C7" s="14" t="inlineStr">
        <is>
          <t>Kesesuaian Alur Bisnis</t>
        </is>
      </c>
      <c r="D7" s="19" t="inlineStr">
        <is>
          <t>Portal Publik &amp; Beranda Informasi</t>
        </is>
      </c>
      <c r="E7" s="15" t="inlineStr">
        <is>
          <t>Memusatkan kanal informasi jadwal magang dan kuota divisi agar admin tidak dibebani pertanyaan berulang di medsos.</t>
        </is>
      </c>
      <c r="F7" s="26" t="inlineStr">
        <is>
          <t>Bagaimana selama ini calon peserta magang mendapatkan informasi pembukaan magang di Suara Surabaya, hingga akhirnya mengajukan berkas dan diproses tim HRD/Redaksi?</t>
        </is>
      </c>
      <c r="G7" s="15" t="inlineStr">
        <is>
          <t>Biasanya mahasiswa bertanya lewat DM Instagram atau siaran radio, lalu kami arahkan kirim proposal ke email kantor, namun sering terlewat karena tercampur email berita masuk.</t>
        </is>
      </c>
      <c r="H7" s="15" t="inlineStr">
        <is>
          <t>ISO/IEC 25010 - Appropriateness Recognizability</t>
        </is>
      </c>
    </row>
    <row r="8">
      <c r="B8" s="8" t="n">
        <v>3</v>
      </c>
      <c r="C8" s="9" t="inlineStr">
        <is>
          <t>Kesesuaian Alur Bisnis</t>
        </is>
      </c>
      <c r="D8" s="18" t="inlineStr">
        <is>
          <t>Formulir Multi-Step Pendaftaran</t>
        </is>
      </c>
      <c r="E8" s="10" t="inlineStr">
        <is>
          <t>Menstandarkan data pelamar secara terstruktur (biodata, kampus, divisi) agar seragam dan langsung siap dinilai.</t>
        </is>
      </c>
      <c r="F8" s="25" t="inlineStr">
        <is>
          <t>Apakah alur pendaftaran mandiri (buat akun, isi data diri, pilih divisi, upload berkas) pada aplikasi ini sudah sesuai dengan tahapan seleksi yang Bapak/Ibu terapkan?</t>
        </is>
      </c>
      <c r="G8" s="10" t="inlineStr">
        <is>
          <t>Sudah sesuai. Tahapan pengisian dari data diri, asal kampus, divisi yang dituju, hingga unggah berkas sudah persis seperti tahapan formulir cetak kami.</t>
        </is>
      </c>
      <c r="H8" s="10" t="inlineStr">
        <is>
          <t>ISO/IEC 25010 - Functional Correctness</t>
        </is>
      </c>
    </row>
    <row r="9">
      <c r="B9" s="13" t="n">
        <v>4</v>
      </c>
      <c r="C9" s="14" t="inlineStr">
        <is>
          <t>Kelengkapan Dokumen</t>
        </is>
      </c>
      <c r="D9" s="19" t="inlineStr">
        <is>
          <t>Validasi &amp; Upload Berkas</t>
        </is>
      </c>
      <c r="E9" s="15" t="inlineStr">
        <is>
          <t>Memastikan berkas administratif lengkap sebelum diverifikasi, memfilter pelamar yang tidak memenuhi syarat formal.</t>
        </is>
      </c>
      <c r="F9" s="26" t="inlineStr">
        <is>
          <t>Apakah dokumen yang diminta dari calon pelamar (CV, Surat Kampus, KTP/KTM, dan Proposal) sudah lengkap memenuhi standar seleksi di Suara Surabaya?</t>
        </is>
      </c>
      <c r="G9" s="15" t="inlineStr">
        <is>
          <t>Sudah sangat lengkap. Keempat berkas itu adalah syarat mutlak administrasi magang di media kami.</t>
        </is>
      </c>
      <c r="H9" s="15" t="inlineStr">
        <is>
          <t>ISO/IEC 25010 - Functional Completeness</t>
        </is>
      </c>
    </row>
    <row r="10">
      <c r="B10" s="8" t="n">
        <v>5</v>
      </c>
      <c r="C10" s="9" t="inlineStr">
        <is>
          <t>Kelengkapan Dokumen</t>
        </is>
      </c>
      <c r="D10" s="18" t="inlineStr">
        <is>
          <t>Deteksi Alumni (Re-Apply Logic)</t>
        </is>
      </c>
      <c r="E10" s="10" t="inlineStr">
        <is>
          <t>Mencegah duplikasi akun dan mengotomasi alur pendaftaran ulang bagi alumni yang ingin magang kembali di periode berbeda.</t>
        </is>
      </c>
      <c r="F10" s="25" t="inlineStr">
        <is>
          <t>Bagaimana cara sistem menangani pelamar alumni magang yang ingin mendaftar kembali pada periode berikutnya?</t>
        </is>
      </c>
      <c r="G10" s="10" t="inlineStr">
        <is>
          <t>Sistem otomatis mendeteksi riwayat magang yang sudah lewat dan membuka kembali formulir pengajuan baru tanpa harus membuat akun email baru.</t>
        </is>
      </c>
      <c r="H10" s="10" t="inlineStr">
        <is>
          <t>ISO/IEC 25010 - Functional Appropriateness</t>
        </is>
      </c>
    </row>
    <row r="11">
      <c r="B11" s="13" t="n">
        <v>6</v>
      </c>
      <c r="C11" s="14" t="inlineStr">
        <is>
          <t>Manajemen Kuota Divisi</t>
        </is>
      </c>
      <c r="D11" s="19" t="inlineStr">
        <is>
          <t>Master Kuota &amp; Kapasitas Divisi</t>
        </is>
      </c>
      <c r="E11" s="15" t="inlineStr">
        <is>
          <t>Mengontrol kapasitas fisik ruangan studio radio dan meja redaksi agar tidak melebihi kapasitas kerja kantor.</t>
        </is>
      </c>
      <c r="F11" s="26" t="inlineStr">
        <is>
          <t>Apakah batas kuota maksimal per divisi (On-Air Radio, Redaksi Online, Multimedia, IT) di aplikasi ini sudah membantu mengontrol kapasitas kantor?</t>
        </is>
      </c>
      <c r="G11" s="15" t="inlineStr">
        <is>
          <t>Sangat membantu. Divisi studio radio ruangannya terbatas untuk 4-5 orang, jadi batas kuota ini mencegah ruangan terlalu padat.</t>
        </is>
      </c>
      <c r="H11" s="15" t="inlineStr">
        <is>
          <t>ISO/IEC 25010 - Resource Utilization</t>
        </is>
      </c>
    </row>
    <row r="12">
      <c r="B12" s="8" t="n">
        <v>7</v>
      </c>
      <c r="C12" s="9" t="inlineStr">
        <is>
          <t>Manajemen Kuota Divisi</t>
        </is>
      </c>
      <c r="D12" s="18" t="inlineStr">
        <is>
          <t>Otomasi Auto-Lock Kuota (Roadmap V2.0)</t>
        </is>
      </c>
      <c r="E12" s="10" t="inlineStr">
        <is>
          <t>Menghilangkan komplain pelamar dengan mengunci divisi secara real-time saat kapasitas kuota penerimaan terpenuhi.</t>
        </is>
      </c>
      <c r="F12" s="25" t="inlineStr">
        <is>
          <t>Apakah mekanisme penutupan otomatis (Auto-Lock) saat kuota suatu divisi terpenuhi sudah sesuai dengan kebijakan operasional redaksi?</t>
        </is>
      </c>
      <c r="G12" s="10" t="inlineStr">
        <is>
          <t>Sudah sangat sesuai. Jika kuota sudah habis, divisi tersebut langsung terkunci sehingga pelamar diarahkan memilih divisi lain yang masih tersedia.</t>
        </is>
      </c>
      <c r="H12" s="10" t="inlineStr">
        <is>
          <t>ISO/IEC 25010 - Fault Tolerance</t>
        </is>
      </c>
    </row>
    <row r="13">
      <c r="B13" s="13" t="n">
        <v>8</v>
      </c>
      <c r="C13" s="14" t="inlineStr">
        <is>
          <t>Penilaian Seleksi Cerdas</t>
        </is>
      </c>
      <c r="D13" s="19" t="inlineStr">
        <is>
          <t>Decision Support System (Roadmap V2.0)</t>
        </is>
      </c>
      <c r="E13" s="15" t="inlineStr">
        <is>
          <t>Memangkas waktu skrining berkas dari hitungan minggu menjadi detik berdasarkan aturan berkas, kuota, dan jurusan.</t>
        </is>
      </c>
      <c r="F13" s="26" t="inlineStr">
        <is>
          <t>Apakah rekomendasi otomatis seleksi berbasis aturan (Rule 1 Berkas, Rule 3 Kuota, Rule 4 Jurusan) mempermudah staf dalam menyaring ratusan berkas?</t>
        </is>
      </c>
      <c r="G13" s="15" t="inlineStr">
        <is>
          <t>Sangat mempermudah. Staf kami tidak perlu lagi mencocokkan jurusan pelamar satu per satu dengan divisi yang dilamar.</t>
        </is>
      </c>
      <c r="H13" s="15" t="inlineStr">
        <is>
          <t>ISO/IEC 25010 - Time Behaviour</t>
        </is>
      </c>
    </row>
    <row r="14">
      <c r="B14" s="8" t="n">
        <v>9</v>
      </c>
      <c r="C14" s="9" t="inlineStr">
        <is>
          <t>Pelaporan &amp; Laporan</t>
        </is>
      </c>
      <c r="D14" s="18" t="inlineStr">
        <is>
          <t>Dasbor Analitik Pimpinan (Roadmap V2.0)</t>
        </is>
      </c>
      <c r="E14" s="10" t="inlineStr">
        <is>
          <t>Menyajikan visualisasi tren pendaftar dan utilisasi divisi secara instan bagi pimpinan redaksi untuk evaluasi.</t>
        </is>
      </c>
      <c r="F14" s="25" t="inlineStr">
        <is>
          <t>Apakah informasi grafik pada Dasbor Pimpinan (tren bulanan dan komposisi asal kampus) sudah cukup untuk kebutuhan evaluasi pimpinan redaksi?</t>
        </is>
      </c>
      <c r="G14" s="10" t="inlineStr">
        <is>
          <t>Sudah cukup dan informatif. Pimpinan bisa langsung melihat kampus mana yang paling aktif mengirimkan mahasiswa ke Suara Surabaya.</t>
        </is>
      </c>
      <c r="H14" s="10" t="inlineStr">
        <is>
          <t>ISO/IEC 25010 - Information Quality</t>
        </is>
      </c>
    </row>
    <row r="15">
      <c r="B15" s="13" t="n">
        <v>10</v>
      </c>
      <c r="C15" s="14" t="inlineStr">
        <is>
          <t>Pelaporan &amp; Laporan</t>
        </is>
      </c>
      <c r="D15" s="19" t="inlineStr">
        <is>
          <t>Ekspor Laporan Excel (.xlsx) (Roadmap V2.0)</t>
        </is>
      </c>
      <c r="E15" s="15" t="inlineStr">
        <is>
          <t>Menyediakan rekapitulasi data pendaftar dan arsip kelolosan yang siap dicetak dan dilaporkan ke direksi.</t>
        </is>
      </c>
      <c r="F15" s="26" t="inlineStr">
        <is>
          <t>Apakah format ekspor rekapitulasi data pendaftar ke spreadsheet Excel (.xlsx) sudah sesuai untuk arsip administrasi kantor?</t>
        </is>
      </c>
      <c r="G15" s="15" t="inlineStr">
        <is>
          <t>Sudah sesuai dan rapi, kolom nama, kampus, divisi, tanggal diterima, dan status sudah lengkap sehingga tidak perlu rekap manual lagi.</t>
        </is>
      </c>
      <c r="H15" s="15" t="inlineStr">
        <is>
          <t>ISO/IEC 25010 - Interoperability</t>
        </is>
      </c>
    </row>
    <row r="16">
      <c r="B16" s="8" t="n">
        <v>11</v>
      </c>
      <c r="C16" s="9" t="inlineStr">
        <is>
          <t>Kemudahan Penggunaan</t>
        </is>
      </c>
      <c r="D16" s="18" t="inlineStr">
        <is>
          <t>UI/UX Impeccable (Dual Mode Light/Dark)</t>
        </is>
      </c>
      <c r="E16" s="10" t="inlineStr">
        <is>
          <t>Menghadirkan tampilan korporat media modern yang nyaman di mata di ruang studio gelap maupun ruang kantor terang.</t>
        </is>
      </c>
      <c r="F16" s="25" t="inlineStr">
        <is>
          <t>Apakah terdapat bagian dari antarmuka aplikasi yang membingungkan atau sulit dioperasikan oleh staf maupun pelamar?</t>
        </is>
      </c>
      <c r="G16" s="10" t="inlineStr">
        <is>
          <t>Tidak ada yang membingungkan. Menu navigasi jelas, tombol aksi terlihat tegas, dan perpindahan mode gelap-terang sangat nyaman di mata.</t>
        </is>
      </c>
      <c r="H16" s="10" t="inlineStr">
        <is>
          <t>ISO/IEC 25010 - Operability &amp; Error Protection</t>
        </is>
      </c>
    </row>
    <row r="17">
      <c r="B17" s="13" t="n">
        <v>12</v>
      </c>
      <c r="C17" s="14" t="inlineStr">
        <is>
          <t>Performa Sistem</t>
        </is>
      </c>
      <c r="D17" s="19" t="inlineStr">
        <is>
          <t>Optimasi Next.js 14 Pre-Compiled</t>
        </is>
      </c>
      <c r="E17" s="15" t="inlineStr">
        <is>
          <t>Menjamin akses cepat tanpa jeda (zero lag) dan hemat kuota internet pengguna.</t>
        </is>
      </c>
      <c r="F17" s="26" t="inlineStr">
        <is>
          <t>Bagaimana kecepatan respon dan akses halaman aplikasi saat digunakan melalui komputer kantor maupun smartphone?</t>
        </is>
      </c>
      <c r="G17" s="15" t="inlineStr">
        <is>
          <t>Sangat cepat dan responsif, tidak ada jeda yang mengganggu saat berpindah halaman formulir maupun membuka preview berkas.</t>
        </is>
      </c>
      <c r="H17" s="15" t="inlineStr">
        <is>
          <t>ISO/IEC 25010 - Performance Efficiency</t>
        </is>
      </c>
    </row>
    <row r="18">
      <c r="B18" s="8" t="n">
        <v>13</v>
      </c>
      <c r="C18" s="9" t="inlineStr">
        <is>
          <t>Keamanan Akses</t>
        </is>
      </c>
      <c r="D18" s="18" t="inlineStr">
        <is>
          <t>Otorisasi RBAC Sanctum Token</t>
        </is>
      </c>
      <c r="E18" s="10" t="inlineStr">
        <is>
          <t>Menjaga kerahasiaan data pribadi pelamar dan membatasi wewenang eksekusi terima/tolak hanya untuk admin berwenang.</t>
        </is>
      </c>
      <c r="F18" s="25" t="inlineStr">
        <is>
          <t>Apakah pemisahan hak akses antara Pelamar, Admin Redaksi/HRD, dan Pimpinan Redaksi sudah tepat melindungi kerahasiaan data?</t>
        </is>
      </c>
      <c r="G18" s="10" t="inlineStr">
        <is>
          <t>Sudah tepat. Pelamar hanya bisa melihat status dirinya sendiri, sedangkan Admin yang berhak memverifikasi berkas, dan Pimpinan hanya melihat analitik.</t>
        </is>
      </c>
      <c r="H18" s="10" t="inlineStr">
        <is>
          <t>ISO/IEC 25010 - Confidentiality &amp; Authenticity</t>
        </is>
      </c>
    </row>
    <row r="19">
      <c r="B19" s="13" t="n">
        <v>14</v>
      </c>
      <c r="C19" s="14" t="inlineStr">
        <is>
          <t>Manfaat Operasional</t>
        </is>
      </c>
      <c r="D19" s="19" t="inlineStr">
        <is>
          <t>Digitalisasi Alur Kerja Magang</t>
        </is>
      </c>
      <c r="E19" s="15" t="inlineStr">
        <is>
          <t>Membuktikan ROI operasional nyata berupa penghematan waktu staf dan peningkatan citra instansi media.</t>
        </is>
      </c>
      <c r="F19" s="26" t="inlineStr">
        <is>
          <t>Apa manfaat terbesar yang dirasakan Suara Surabaya Media dari keberadaan sistem E-Internship ini dibanding cara lama?</t>
        </is>
      </c>
      <c r="G19" s="15" t="inlineStr">
        <is>
          <t>Manfaat terbesar adalah penghematan waktu staf hingga 70%, arsip data pelamar tersimpan rapi, dan reputasi Suara Surabaya terlihat jauh lebih profesional di mata kampus.</t>
        </is>
      </c>
      <c r="H19" s="15" t="inlineStr">
        <is>
          <t>ISO/IEC 25010 - Satisfaction (Usefulness)</t>
        </is>
      </c>
    </row>
    <row r="20">
      <c r="B20" s="8" t="n">
        <v>15</v>
      </c>
      <c r="C20" s="9" t="inlineStr">
        <is>
          <t>Kesiapan Implementasi</t>
        </is>
      </c>
      <c r="D20" s="18" t="inlineStr">
        <is>
          <t>Sistem Siap Deploy On-Premise</t>
        </is>
      </c>
      <c r="E20" s="10" t="inlineStr">
        <is>
          <t>Memastikan kesiapan serah terima sistem dan komitmen implementasi resmi di lingkungan Suara Surabaya Media.</t>
        </is>
      </c>
      <c r="F20" s="25" t="inlineStr">
        <is>
          <t>Apakah Suara Surabaya Media bersedia menerapkan sistem ini secara resmi untuk periode penerimaan magang selanjutnya?</t>
        </is>
      </c>
      <c r="G20" s="10" t="inlineStr">
        <is>
          <t>Kami bersedia menggunakannya secara resmi, diawali dengan pelatihan singkat bagi admin redaksi dan uji coba pada satu gelombang pendaftaran magang.</t>
        </is>
      </c>
      <c r="H20" s="10" t="inlineStr">
        <is>
          <t>ISO/IEC 25010 - Compliance &amp; Acceptance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5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6" customWidth="1" min="2" max="2"/>
    <col width="28" customWidth="1" min="3" max="3"/>
    <col width="44" customWidth="1" min="4" max="4"/>
    <col width="10" customWidth="1" min="5" max="5"/>
    <col width="12" customWidth="1" min="6" max="6"/>
    <col width="10" customWidth="1" min="7" max="7"/>
    <col width="16" customWidth="1" min="8" max="8"/>
    <col width="18" customWidth="1" min="9" max="9"/>
    <col width="20" customWidth="1" min="10" max="10"/>
    <col width="10" customWidth="1" min="11" max="11"/>
  </cols>
  <sheetData>
    <row r="1">
      <c r="B1" s="1" t="inlineStr">
        <is>
          <t>RENCANA ANGGARAN BIAYA (RAB) — BIAYA PRODUKSI SOFTWARE</t>
        </is>
      </c>
    </row>
    <row r="2">
      <c r="B2" s="2" t="inlineStr">
        <is>
          <t>Sistem Informasi E-Internship &amp; Talent Management Suara Surabaya Media</t>
        </is>
      </c>
    </row>
    <row r="4">
      <c r="B4" s="3" t="inlineStr">
        <is>
          <t>A. INFRASTRUKTUR APLIKASI (PENGADAAN SERVER &amp; DOMAIN SUARA SURABAYA)</t>
        </is>
      </c>
    </row>
    <row r="5">
      <c r="B5" s="7" t="inlineStr">
        <is>
          <t>No.</t>
        </is>
      </c>
      <c r="C5" s="7" t="inlineStr">
        <is>
          <t>Uraian Infrastruktur &amp; Layanan Server</t>
        </is>
      </c>
      <c r="D5" s="7" t="inlineStr">
        <is>
          <t>Referensi Vendor / Spesifikasi Teknis</t>
        </is>
      </c>
      <c r="E5" s="7" t="inlineStr">
        <is>
          <t>Volume (Jumlah)</t>
        </is>
      </c>
      <c r="F5" s="7" t="inlineStr">
        <is>
          <t>Durasi (Tahun)</t>
        </is>
      </c>
      <c r="G5" s="7" t="inlineStr">
        <is>
          <t>Total Paket</t>
        </is>
      </c>
      <c r="H5" s="7" t="inlineStr">
        <is>
          <t>Harga Satuan / Th (Rp)</t>
        </is>
      </c>
      <c r="I5" s="7" t="inlineStr">
        <is>
          <t>Total Biaya (Rp)</t>
        </is>
      </c>
    </row>
    <row r="6">
      <c r="B6" s="8" t="n">
        <v>1</v>
      </c>
      <c r="C6" s="9" t="inlineStr">
        <is>
          <t>Server On-Premise Suara Surabaya (Compute &amp; Host)</t>
        </is>
      </c>
      <c r="D6" s="18" t="inlineStr">
        <is>
          <t>Server Fisik / VM Internal Eksisting di Datacenter SS Media</t>
        </is>
      </c>
      <c r="E6" s="8" t="n">
        <v>1</v>
      </c>
      <c r="F6" s="8" t="n">
        <v>1</v>
      </c>
      <c r="G6" s="27">
        <f>E6*F6</f>
        <v/>
      </c>
      <c r="H6" s="11" t="n">
        <v>0</v>
      </c>
      <c r="I6" s="12">
        <f>G6*H6</f>
        <v/>
      </c>
    </row>
    <row r="7">
      <c r="B7" s="13" t="n">
        <v>2</v>
      </c>
      <c r="C7" s="14" t="inlineStr">
        <is>
          <t>Database Server PostgreSQL (Local On-Premise)</t>
        </is>
      </c>
      <c r="D7" s="19" t="inlineStr">
        <is>
          <t>Open-Source RDBMS Terinstal di Server Internal SS Media</t>
        </is>
      </c>
      <c r="E7" s="13" t="n">
        <v>1</v>
      </c>
      <c r="F7" s="13" t="n">
        <v>1</v>
      </c>
      <c r="G7" s="28">
        <f>E7*F7</f>
        <v/>
      </c>
      <c r="H7" s="16" t="n">
        <v>0</v>
      </c>
      <c r="I7" s="17">
        <f>G7*H7</f>
        <v/>
      </c>
    </row>
    <row r="8">
      <c r="B8" s="8" t="n">
        <v>3</v>
      </c>
      <c r="C8" s="9" t="inlineStr">
        <is>
          <t>Domain Web Resmi (.id / .net) &amp; Sertifikat SSL</t>
        </is>
      </c>
      <c r="D8" s="18" t="inlineStr">
        <is>
          <t>Registrar Niagahoster / PANDI (Domain Publik Portal Magang)</t>
        </is>
      </c>
      <c r="E8" s="8" t="n">
        <v>1</v>
      </c>
      <c r="F8" s="8" t="n">
        <v>1</v>
      </c>
      <c r="G8" s="27">
        <f>E8*F8</f>
        <v/>
      </c>
      <c r="H8" s="11" t="n">
        <v>252000</v>
      </c>
      <c r="I8" s="12">
        <f>G8*H8</f>
        <v/>
      </c>
    </row>
    <row r="9">
      <c r="B9" s="20" t="inlineStr"/>
      <c r="C9" s="21" t="inlineStr">
        <is>
          <t>Subtotal A. Infrastruktur Aplikasi</t>
        </is>
      </c>
      <c r="D9" s="20" t="inlineStr"/>
      <c r="E9" s="20" t="inlineStr"/>
      <c r="F9" s="20" t="inlineStr"/>
      <c r="G9" s="20" t="inlineStr"/>
      <c r="H9" s="20" t="inlineStr"/>
      <c r="I9" s="23">
        <f>SUM(I6:I8)</f>
        <v/>
      </c>
    </row>
    <row r="11">
      <c r="B11" s="3" t="inlineStr">
        <is>
          <t>B. BIAYA PENGEMBANGAN PER FITUR &amp; FUNGSI DASAR (VERSI 1.0 - MVP)</t>
        </is>
      </c>
    </row>
    <row r="12">
      <c r="B12" s="7" t="inlineStr">
        <is>
          <t>No.</t>
        </is>
      </c>
      <c r="C12" s="7" t="inlineStr">
        <is>
          <t>Modul / Fitur</t>
        </is>
      </c>
      <c r="D12" s="7" t="inlineStr">
        <is>
          <t>Fungsi Dasar Nyata (Yang Dibayar)</t>
        </is>
      </c>
      <c r="E12" s="7" t="inlineStr">
        <is>
          <t>Jml Dev</t>
        </is>
      </c>
      <c r="F12" s="7" t="inlineStr">
        <is>
          <t>Durasi (Hari)</t>
        </is>
      </c>
      <c r="G12" s="7" t="inlineStr">
        <is>
          <t>Total OH</t>
        </is>
      </c>
      <c r="H12" s="7" t="inlineStr">
        <is>
          <t>Faktor Kesulitan</t>
        </is>
      </c>
      <c r="I12" s="7" t="inlineStr">
        <is>
          <t>Harga Dasar / OH</t>
        </is>
      </c>
      <c r="J12" s="7" t="inlineStr">
        <is>
          <t>Biaya Fungsi (Rp)</t>
        </is>
      </c>
      <c r="K12" s="7" t="inlineStr">
        <is>
          <t>Versi</t>
        </is>
      </c>
    </row>
    <row r="13">
      <c r="B13" s="8" t="n">
        <v>1</v>
      </c>
      <c r="C13" s="9" t="inlineStr">
        <is>
          <t>Desain UI/UX Aplikasi</t>
        </is>
      </c>
      <c r="D13" s="18" t="inlineStr">
        <is>
          <t>Wireframe &amp; Prototype Alur Pendaftaran</t>
        </is>
      </c>
      <c r="E13" s="8" t="n">
        <v>1</v>
      </c>
      <c r="F13" s="8" t="n">
        <v>3</v>
      </c>
      <c r="G13" s="27">
        <f>E13*F13</f>
        <v/>
      </c>
      <c r="H13" s="8" t="n">
        <v>1</v>
      </c>
      <c r="I13" s="11" t="n">
        <v>30000</v>
      </c>
      <c r="J13" s="12">
        <f>G13*H13*I13</f>
        <v/>
      </c>
      <c r="K13" s="8" t="inlineStr">
        <is>
          <t>V1.0</t>
        </is>
      </c>
    </row>
    <row r="14">
      <c r="B14" s="13" t="n">
        <v>2</v>
      </c>
      <c r="C14" s="14" t="inlineStr">
        <is>
          <t>Desain UI/UX Aplikasi</t>
        </is>
      </c>
      <c r="D14" s="19" t="inlineStr">
        <is>
          <t>Desain UI Final &amp; Asset Suara Surabaya</t>
        </is>
      </c>
      <c r="E14" s="13" t="n">
        <v>1</v>
      </c>
      <c r="F14" s="13" t="n">
        <v>3</v>
      </c>
      <c r="G14" s="28">
        <f>E14*F14</f>
        <v/>
      </c>
      <c r="H14" s="13" t="n">
        <v>1.3</v>
      </c>
      <c r="I14" s="16" t="n">
        <v>30000</v>
      </c>
      <c r="J14" s="17">
        <f>G14*H14*I14</f>
        <v/>
      </c>
      <c r="K14" s="13" t="inlineStr">
        <is>
          <t>V1.0</t>
        </is>
      </c>
    </row>
    <row r="15">
      <c r="B15" s="8" t="n">
        <v>3</v>
      </c>
      <c r="C15" s="9" t="inlineStr">
        <is>
          <t>Autentikasi Pengguna</t>
        </is>
      </c>
      <c r="D15" s="18" t="inlineStr">
        <is>
          <t>Registrasi Akun Pelamar &amp; Login Sanctum Token</t>
        </is>
      </c>
      <c r="E15" s="8" t="n">
        <v>2</v>
      </c>
      <c r="F15" s="8" t="n">
        <v>3</v>
      </c>
      <c r="G15" s="27">
        <f>E15*F15</f>
        <v/>
      </c>
      <c r="H15" s="8" t="n">
        <v>1</v>
      </c>
      <c r="I15" s="11" t="n">
        <v>50000</v>
      </c>
      <c r="J15" s="12">
        <f>G15*H15*I15</f>
        <v/>
      </c>
      <c r="K15" s="8" t="inlineStr">
        <is>
          <t>V1.0</t>
        </is>
      </c>
    </row>
    <row r="16">
      <c r="B16" s="13" t="n">
        <v>4</v>
      </c>
      <c r="C16" s="14" t="inlineStr">
        <is>
          <t>Otorisasi Hak Akses</t>
        </is>
      </c>
      <c r="D16" s="19" t="inlineStr">
        <is>
          <t>Role-Based Access Control (Pelamar, Admin, Pimpinan)</t>
        </is>
      </c>
      <c r="E16" s="13" t="n">
        <v>2</v>
      </c>
      <c r="F16" s="13" t="n">
        <v>2</v>
      </c>
      <c r="G16" s="28">
        <f>E16*F16</f>
        <v/>
      </c>
      <c r="H16" s="13" t="n">
        <v>1.3</v>
      </c>
      <c r="I16" s="16" t="n">
        <v>50000</v>
      </c>
      <c r="J16" s="17">
        <f>G16*H16*I16</f>
        <v/>
      </c>
      <c r="K16" s="13" t="inlineStr">
        <is>
          <t>V1.0</t>
        </is>
      </c>
    </row>
    <row r="17">
      <c r="B17" s="8" t="n">
        <v>5</v>
      </c>
      <c r="C17" s="9" t="inlineStr">
        <is>
          <t>Beranda &amp; Info Magang</t>
        </is>
      </c>
      <c r="D17" s="18" t="inlineStr">
        <is>
          <t>Katalog Profil Divisi &amp; Auto-Slide Banner 5 Detik</t>
        </is>
      </c>
      <c r="E17" s="8" t="n">
        <v>1</v>
      </c>
      <c r="F17" s="8" t="n">
        <v>3</v>
      </c>
      <c r="G17" s="27">
        <f>E17*F17</f>
        <v/>
      </c>
      <c r="H17" s="8" t="n">
        <v>1</v>
      </c>
      <c r="I17" s="11" t="n">
        <v>50000</v>
      </c>
      <c r="J17" s="12">
        <f>G17*H17*I17</f>
        <v/>
      </c>
      <c r="K17" s="8" t="inlineStr">
        <is>
          <t>V1.0</t>
        </is>
      </c>
    </row>
    <row r="18">
      <c r="B18" s="13" t="n">
        <v>6</v>
      </c>
      <c r="C18" s="14" t="inlineStr">
        <is>
          <t>Formulir Pendaftaran</t>
        </is>
      </c>
      <c r="D18" s="19" t="inlineStr">
        <is>
          <t>Formulir Multi-Step Data Diri &amp; Asal Kampus</t>
        </is>
      </c>
      <c r="E18" s="13" t="n">
        <v>2</v>
      </c>
      <c r="F18" s="13" t="n">
        <v>3</v>
      </c>
      <c r="G18" s="28">
        <f>E18*F18</f>
        <v/>
      </c>
      <c r="H18" s="13" t="n">
        <v>1</v>
      </c>
      <c r="I18" s="16" t="n">
        <v>50000</v>
      </c>
      <c r="J18" s="17">
        <f>G18*H18*I18</f>
        <v/>
      </c>
      <c r="K18" s="13" t="inlineStr">
        <is>
          <t>V1.0</t>
        </is>
      </c>
    </row>
    <row r="19">
      <c r="B19" s="8" t="n">
        <v>7</v>
      </c>
      <c r="C19" s="9" t="inlineStr">
        <is>
          <t>Formulir Pendaftaran</t>
        </is>
      </c>
      <c r="D19" s="18" t="inlineStr">
        <is>
          <t>Pemilihan Divisi &amp; Validasi Minat Bidang</t>
        </is>
      </c>
      <c r="E19" s="8" t="n">
        <v>2</v>
      </c>
      <c r="F19" s="8" t="n">
        <v>2</v>
      </c>
      <c r="G19" s="27">
        <f>E19*F19</f>
        <v/>
      </c>
      <c r="H19" s="8" t="n">
        <v>1.3</v>
      </c>
      <c r="I19" s="11" t="n">
        <v>50000</v>
      </c>
      <c r="J19" s="12">
        <f>G19*H19*I19</f>
        <v/>
      </c>
      <c r="K19" s="8" t="inlineStr">
        <is>
          <t>V1.0</t>
        </is>
      </c>
    </row>
    <row r="20">
      <c r="B20" s="13" t="n">
        <v>8</v>
      </c>
      <c r="C20" s="14" t="inlineStr">
        <is>
          <t>Pengunggahan Berkas</t>
        </is>
      </c>
      <c r="D20" s="19" t="inlineStr">
        <is>
          <t>Upload Dokumen (CV, KTP/KTM, Surat, Proposal)</t>
        </is>
      </c>
      <c r="E20" s="13" t="n">
        <v>2</v>
      </c>
      <c r="F20" s="13" t="n">
        <v>3</v>
      </c>
      <c r="G20" s="28">
        <f>E20*F20</f>
        <v/>
      </c>
      <c r="H20" s="13" t="n">
        <v>1.3</v>
      </c>
      <c r="I20" s="16" t="n">
        <v>50000</v>
      </c>
      <c r="J20" s="17">
        <f>G20*H20*I20</f>
        <v/>
      </c>
      <c r="K20" s="13" t="inlineStr">
        <is>
          <t>V1.0</t>
        </is>
      </c>
    </row>
    <row r="21">
      <c r="B21" s="8" t="n">
        <v>9</v>
      </c>
      <c r="C21" s="9" t="inlineStr">
        <is>
          <t>Pengunggahan Berkas</t>
        </is>
      </c>
      <c r="D21" s="18" t="inlineStr">
        <is>
          <t>Validasi Format File &amp; Keamanan Storage Server</t>
        </is>
      </c>
      <c r="E21" s="8" t="n">
        <v>2</v>
      </c>
      <c r="F21" s="8" t="n">
        <v>2</v>
      </c>
      <c r="G21" s="27">
        <f>E21*F21</f>
        <v/>
      </c>
      <c r="H21" s="8" t="n">
        <v>1.3</v>
      </c>
      <c r="I21" s="11" t="n">
        <v>50000</v>
      </c>
      <c r="J21" s="12">
        <f>G21*H21*I21</f>
        <v/>
      </c>
      <c r="K21" s="8" t="inlineStr">
        <is>
          <t>V1.0</t>
        </is>
      </c>
    </row>
    <row r="22">
      <c r="B22" s="13" t="n">
        <v>10</v>
      </c>
      <c r="C22" s="14" t="inlineStr">
        <is>
          <t>Portal Pelamar</t>
        </is>
      </c>
      <c r="D22" s="19" t="inlineStr">
        <is>
          <t>Linimasa Interaktif Status (Menunggu s.d Diterima)</t>
        </is>
      </c>
      <c r="E22" s="13" t="n">
        <v>2</v>
      </c>
      <c r="F22" s="13" t="n">
        <v>3</v>
      </c>
      <c r="G22" s="28">
        <f>E22*F22</f>
        <v/>
      </c>
      <c r="H22" s="13" t="n">
        <v>1</v>
      </c>
      <c r="I22" s="16" t="n">
        <v>50000</v>
      </c>
      <c r="J22" s="17">
        <f>G22*H22*I22</f>
        <v/>
      </c>
      <c r="K22" s="13" t="inlineStr">
        <is>
          <t>V1.0</t>
        </is>
      </c>
    </row>
    <row r="23">
      <c r="B23" s="8" t="n">
        <v>11</v>
      </c>
      <c r="C23" s="9" t="inlineStr">
        <is>
          <t>Portal Pelamar</t>
        </is>
      </c>
      <c r="D23" s="18" t="inlineStr">
        <is>
          <t>Profil Pengguna &amp; Tabel Metadata Akun Sistem</t>
        </is>
      </c>
      <c r="E23" s="8" t="n">
        <v>1</v>
      </c>
      <c r="F23" s="8" t="n">
        <v>2</v>
      </c>
      <c r="G23" s="27">
        <f>E23*F23</f>
        <v/>
      </c>
      <c r="H23" s="8" t="n">
        <v>1</v>
      </c>
      <c r="I23" s="11" t="n">
        <v>50000</v>
      </c>
      <c r="J23" s="12">
        <f>G23*H23*I23</f>
        <v/>
      </c>
      <c r="K23" s="8" t="inlineStr">
        <is>
          <t>V1.0</t>
        </is>
      </c>
    </row>
    <row r="24">
      <c r="B24" s="13" t="n">
        <v>12</v>
      </c>
      <c r="C24" s="14" t="inlineStr">
        <is>
          <t>Alur Pendaftaran Ulang</t>
        </is>
      </c>
      <c r="D24" s="19" t="inlineStr">
        <is>
          <t>Deteksi Otomatis Alumni untuk Re-Apply</t>
        </is>
      </c>
      <c r="E24" s="13" t="n">
        <v>2</v>
      </c>
      <c r="F24" s="13" t="n">
        <v>2</v>
      </c>
      <c r="G24" s="28">
        <f>E24*F24</f>
        <v/>
      </c>
      <c r="H24" s="13" t="n">
        <v>1.3</v>
      </c>
      <c r="I24" s="16" t="n">
        <v>50000</v>
      </c>
      <c r="J24" s="17">
        <f>G24*H24*I24</f>
        <v/>
      </c>
      <c r="K24" s="13" t="inlineStr">
        <is>
          <t>V1.0</t>
        </is>
      </c>
    </row>
    <row r="25">
      <c r="B25" s="8" t="n">
        <v>13</v>
      </c>
      <c r="C25" s="9" t="inlineStr">
        <is>
          <t>Antrean Admin Redaksi</t>
        </is>
      </c>
      <c r="D25" s="18" t="inlineStr">
        <is>
          <t>Tabel Antrean Terpusat &amp; Filter Divisi/Status</t>
        </is>
      </c>
      <c r="E25" s="8" t="n">
        <v>2</v>
      </c>
      <c r="F25" s="8" t="n">
        <v>3</v>
      </c>
      <c r="G25" s="27">
        <f>E25*F25</f>
        <v/>
      </c>
      <c r="H25" s="8" t="n">
        <v>1</v>
      </c>
      <c r="I25" s="11" t="n">
        <v>50000</v>
      </c>
      <c r="J25" s="12">
        <f>G25*H25*I25</f>
        <v/>
      </c>
      <c r="K25" s="8" t="inlineStr">
        <is>
          <t>V1.0</t>
        </is>
      </c>
    </row>
    <row r="26">
      <c r="B26" s="13" t="n">
        <v>14</v>
      </c>
      <c r="C26" s="14" t="inlineStr">
        <is>
          <t>Antrean Admin Redaksi</t>
        </is>
      </c>
      <c r="D26" s="19" t="inlineStr">
        <is>
          <t>Preview Berkas Dokumen Pelamar Terintegrasi</t>
        </is>
      </c>
      <c r="E26" s="13" t="n">
        <v>2</v>
      </c>
      <c r="F26" s="13" t="n">
        <v>2</v>
      </c>
      <c r="G26" s="28">
        <f>E26*F26</f>
        <v/>
      </c>
      <c r="H26" s="13" t="n">
        <v>1.3</v>
      </c>
      <c r="I26" s="16" t="n">
        <v>50000</v>
      </c>
      <c r="J26" s="17">
        <f>G26*H26*I26</f>
        <v/>
      </c>
      <c r="K26" s="13" t="inlineStr">
        <is>
          <t>V1.0</t>
        </is>
      </c>
    </row>
    <row r="27">
      <c r="B27" s="8" t="n">
        <v>15</v>
      </c>
      <c r="C27" s="9" t="inlineStr">
        <is>
          <t>Keputusan Seleksi Admin</t>
        </is>
      </c>
      <c r="D27" s="18" t="inlineStr">
        <is>
          <t>Modal Form Penerimaan (Input Jadwal &amp; Catatan)</t>
        </is>
      </c>
      <c r="E27" s="8" t="n">
        <v>2</v>
      </c>
      <c r="F27" s="8" t="n">
        <v>2</v>
      </c>
      <c r="G27" s="27">
        <f>E27*F27</f>
        <v/>
      </c>
      <c r="H27" s="8" t="n">
        <v>1</v>
      </c>
      <c r="I27" s="11" t="n">
        <v>50000</v>
      </c>
      <c r="J27" s="12">
        <f>G27*H27*I27</f>
        <v/>
      </c>
      <c r="K27" s="8" t="inlineStr">
        <is>
          <t>V1.0</t>
        </is>
      </c>
    </row>
    <row r="28">
      <c r="B28" s="13" t="n">
        <v>16</v>
      </c>
      <c r="C28" s="14" t="inlineStr">
        <is>
          <t>Keputusan Seleksi Admin</t>
        </is>
      </c>
      <c r="D28" s="19" t="inlineStr">
        <is>
          <t>Modal Form Penolakan (Input Alasan Penolakan)</t>
        </is>
      </c>
      <c r="E28" s="13" t="n">
        <v>2</v>
      </c>
      <c r="F28" s="13" t="n">
        <v>1</v>
      </c>
      <c r="G28" s="28">
        <f>E28*F28</f>
        <v/>
      </c>
      <c r="H28" s="13" t="n">
        <v>1</v>
      </c>
      <c r="I28" s="16" t="n">
        <v>50000</v>
      </c>
      <c r="J28" s="17">
        <f>G28*H28*I28</f>
        <v/>
      </c>
      <c r="K28" s="13" t="inlineStr">
        <is>
          <t>V1.0</t>
        </is>
      </c>
    </row>
    <row r="29">
      <c r="B29" s="8" t="n">
        <v>17</v>
      </c>
      <c r="C29" s="9" t="inlineStr">
        <is>
          <t>Manajemen Kuota Divisi</t>
        </is>
      </c>
      <c r="D29" s="18" t="inlineStr">
        <is>
          <t>CRUD Master Divisi Penyiaran &amp; Redaksi</t>
        </is>
      </c>
      <c r="E29" s="8" t="n">
        <v>2</v>
      </c>
      <c r="F29" s="8" t="n">
        <v>2</v>
      </c>
      <c r="G29" s="27">
        <f>E29*F29</f>
        <v/>
      </c>
      <c r="H29" s="8" t="n">
        <v>1</v>
      </c>
      <c r="I29" s="11" t="n">
        <v>50000</v>
      </c>
      <c r="J29" s="12">
        <f>G29*H29*I29</f>
        <v/>
      </c>
      <c r="K29" s="8" t="inlineStr">
        <is>
          <t>V1.0</t>
        </is>
      </c>
    </row>
    <row r="30">
      <c r="B30" s="13" t="n">
        <v>18</v>
      </c>
      <c r="C30" s="14" t="inlineStr">
        <is>
          <t>Manajemen Kuota Divisi</t>
        </is>
      </c>
      <c r="D30" s="19" t="inlineStr">
        <is>
          <t>Pengaturan Kuota &amp; Buka/Tutup Pendaftaran Manual</t>
        </is>
      </c>
      <c r="E30" s="13" t="n">
        <v>2</v>
      </c>
      <c r="F30" s="13" t="n">
        <v>2</v>
      </c>
      <c r="G30" s="28">
        <f>E30*F30</f>
        <v/>
      </c>
      <c r="H30" s="13" t="n">
        <v>1</v>
      </c>
      <c r="I30" s="16" t="n">
        <v>50000</v>
      </c>
      <c r="J30" s="17">
        <f>G30*H30*I30</f>
        <v/>
      </c>
      <c r="K30" s="13" t="inlineStr">
        <is>
          <t>V1.0</t>
        </is>
      </c>
    </row>
    <row r="31">
      <c r="B31" s="8" t="n">
        <v>19</v>
      </c>
      <c r="C31" s="9" t="inlineStr">
        <is>
          <t>Antarmuka Responsif</t>
        </is>
      </c>
      <c r="D31" s="18" t="inlineStr">
        <is>
          <t>Dual Theme (Light &amp; Dark Mode) Kontras Tinggi</t>
        </is>
      </c>
      <c r="E31" s="8" t="n">
        <v>2</v>
      </c>
      <c r="F31" s="8" t="n">
        <v>3</v>
      </c>
      <c r="G31" s="27">
        <f>E31*F31</f>
        <v/>
      </c>
      <c r="H31" s="8" t="n">
        <v>1.3</v>
      </c>
      <c r="I31" s="11" t="n">
        <v>50000</v>
      </c>
      <c r="J31" s="12">
        <f>G31*H31*I31</f>
        <v/>
      </c>
      <c r="K31" s="8" t="inlineStr">
        <is>
          <t>V1.0</t>
        </is>
      </c>
    </row>
    <row r="32">
      <c r="B32" s="13" t="n">
        <v>20</v>
      </c>
      <c r="C32" s="14" t="inlineStr">
        <is>
          <t>Deployment Server SS</t>
        </is>
      </c>
      <c r="D32" s="19" t="inlineStr">
        <is>
          <t>Setup Database PostgreSQL &amp; Skrip 1-Click Launcher</t>
        </is>
      </c>
      <c r="E32" s="13" t="n">
        <v>1</v>
      </c>
      <c r="F32" s="13" t="n">
        <v>4</v>
      </c>
      <c r="G32" s="28">
        <f>E32*F32</f>
        <v/>
      </c>
      <c r="H32" s="13" t="n">
        <v>1.3</v>
      </c>
      <c r="I32" s="16" t="n">
        <v>50000</v>
      </c>
      <c r="J32" s="17">
        <f>G32*H32*I32</f>
        <v/>
      </c>
      <c r="K32" s="13" t="inlineStr">
        <is>
          <t>V1.0</t>
        </is>
      </c>
    </row>
    <row r="33">
      <c r="B33" s="8" t="n">
        <v>21</v>
      </c>
      <c r="C33" s="9" t="inlineStr">
        <is>
          <t>Testing &amp; QA Sistem</t>
        </is>
      </c>
      <c r="D33" s="18" t="inlineStr">
        <is>
          <t>Pengujian Fungsional Black Box Seluruh Alur</t>
        </is>
      </c>
      <c r="E33" s="8" t="n">
        <v>1</v>
      </c>
      <c r="F33" s="8" t="n">
        <v>5</v>
      </c>
      <c r="G33" s="27">
        <f>E33*F33</f>
        <v/>
      </c>
      <c r="H33" s="8" t="n">
        <v>1</v>
      </c>
      <c r="I33" s="11" t="n">
        <v>20000</v>
      </c>
      <c r="J33" s="12">
        <f>G33*H33*I33</f>
        <v/>
      </c>
      <c r="K33" s="8" t="inlineStr">
        <is>
          <t>V1.0</t>
        </is>
      </c>
    </row>
    <row r="34">
      <c r="B34" s="20" t="inlineStr"/>
      <c r="C34" s="21" t="inlineStr">
        <is>
          <t>Subtotal B. Biaya Pengembangan (Versi 1.0 Masuk Total Anggaran)</t>
        </is>
      </c>
      <c r="D34" s="20" t="inlineStr"/>
      <c r="E34" s="20" t="inlineStr"/>
      <c r="F34" s="20" t="inlineStr"/>
      <c r="G34" s="29">
        <f>SUM(G13:G33)</f>
        <v/>
      </c>
      <c r="H34" s="20" t="inlineStr"/>
      <c r="I34" s="20" t="inlineStr"/>
      <c r="J34" s="23">
        <f>SUM(J13:J33)</f>
        <v/>
      </c>
      <c r="K34" s="30" t="inlineStr">
        <is>
          <t>V1.0 Total</t>
        </is>
      </c>
    </row>
    <row r="36">
      <c r="B36" s="31" t="inlineStr">
        <is>
          <t>ROADMAP PENGEMBANGAN LANJUTAN VERSI 2.0 (ADVANCE - TIDAK MASUK ANGGARAN V1.0)</t>
        </is>
      </c>
    </row>
    <row r="37">
      <c r="B37" s="8" t="n">
        <v>22</v>
      </c>
      <c r="C37" s="9" t="inlineStr">
        <is>
          <t>Seleksi Cerdas (DSS)</t>
        </is>
      </c>
      <c r="D37" s="18" t="inlineStr">
        <is>
          <t>Engine DSS Rule 1 (Berkas) &amp; Rule 3 (Sisa Kuota)</t>
        </is>
      </c>
      <c r="E37" s="8" t="n">
        <v>2</v>
      </c>
      <c r="F37" s="8" t="n">
        <v>4</v>
      </c>
      <c r="G37" s="27">
        <f>E37*F37</f>
        <v/>
      </c>
      <c r="H37" s="8" t="n">
        <v>1.6</v>
      </c>
      <c r="I37" s="11" t="n">
        <v>50000</v>
      </c>
      <c r="J37" s="12">
        <f>G37*H37*I37</f>
        <v/>
      </c>
      <c r="K37" s="8" t="inlineStr">
        <is>
          <t>V2.0</t>
        </is>
      </c>
    </row>
    <row r="38">
      <c r="B38" s="13" t="n">
        <v>23</v>
      </c>
      <c r="C38" s="14" t="inlineStr">
        <is>
          <t>Seleksi Cerdas (DSS)</t>
        </is>
      </c>
      <c r="D38" s="19" t="inlineStr">
        <is>
          <t>Engine DSS Rule 4 (Kesesuaian Jurusan dengan Divisi)</t>
        </is>
      </c>
      <c r="E38" s="13" t="n">
        <v>2</v>
      </c>
      <c r="F38" s="13" t="n">
        <v>5</v>
      </c>
      <c r="G38" s="28">
        <f>E38*F38</f>
        <v/>
      </c>
      <c r="H38" s="13" t="n">
        <v>1.6</v>
      </c>
      <c r="I38" s="16" t="n">
        <v>50000</v>
      </c>
      <c r="J38" s="17">
        <f>G38*H38*I38</f>
        <v/>
      </c>
      <c r="K38" s="13" t="inlineStr">
        <is>
          <t>V2.0</t>
        </is>
      </c>
    </row>
    <row r="39">
      <c r="B39" s="8" t="n">
        <v>24</v>
      </c>
      <c r="C39" s="9" t="inlineStr">
        <is>
          <t>Otomasi Kuota Dinamis</t>
        </is>
      </c>
      <c r="D39" s="18" t="inlineStr">
        <is>
          <t>Auto-Decrement Kuota Real-time &amp; Auto-Lock Divisi</t>
        </is>
      </c>
      <c r="E39" s="8" t="n">
        <v>2</v>
      </c>
      <c r="F39" s="8" t="n">
        <v>3</v>
      </c>
      <c r="G39" s="27">
        <f>E39*F39</f>
        <v/>
      </c>
      <c r="H39" s="8" t="n">
        <v>1.6</v>
      </c>
      <c r="I39" s="11" t="n">
        <v>50000</v>
      </c>
      <c r="J39" s="12">
        <f>G39*H39*I39</f>
        <v/>
      </c>
      <c r="K39" s="8" t="inlineStr">
        <is>
          <t>V2.0</t>
        </is>
      </c>
    </row>
    <row r="40">
      <c r="B40" s="13" t="n">
        <v>25</v>
      </c>
      <c r="C40" s="14" t="inlineStr">
        <is>
          <t>Dasbor Analitik Pimpinan</t>
        </is>
      </c>
      <c r="D40" s="19" t="inlineStr">
        <is>
          <t>Visualisasi Grafik Tren Bulanan &amp; Distribusi Kampus</t>
        </is>
      </c>
      <c r="E40" s="13" t="n">
        <v>2</v>
      </c>
      <c r="F40" s="13" t="n">
        <v>4</v>
      </c>
      <c r="G40" s="28">
        <f>E40*F40</f>
        <v/>
      </c>
      <c r="H40" s="13" t="n">
        <v>1.3</v>
      </c>
      <c r="I40" s="16" t="n">
        <v>40000</v>
      </c>
      <c r="J40" s="17">
        <f>G40*H40*I40</f>
        <v/>
      </c>
      <c r="K40" s="13" t="inlineStr">
        <is>
          <t>V2.0</t>
        </is>
      </c>
    </row>
    <row r="41">
      <c r="B41" s="8" t="n">
        <v>26</v>
      </c>
      <c r="C41" s="9" t="inlineStr">
        <is>
          <t>Ekspor Laporan Excel</t>
        </is>
      </c>
      <c r="D41" s="18" t="inlineStr">
        <is>
          <t>Generate Rekapitulasi Data Pelamar ke Excel (.xlsx)</t>
        </is>
      </c>
      <c r="E41" s="8" t="n">
        <v>1</v>
      </c>
      <c r="F41" s="8" t="n">
        <v>3</v>
      </c>
      <c r="G41" s="27">
        <f>E41*F41</f>
        <v/>
      </c>
      <c r="H41" s="8" t="n">
        <v>1.3</v>
      </c>
      <c r="I41" s="11" t="n">
        <v>50000</v>
      </c>
      <c r="J41" s="12">
        <f>G41*H41*I41</f>
        <v/>
      </c>
      <c r="K41" s="8" t="inlineStr">
        <is>
          <t>V2.0</t>
        </is>
      </c>
    </row>
    <row r="42">
      <c r="B42" s="13" t="n">
        <v>27</v>
      </c>
      <c r="C42" s="14" t="inlineStr">
        <is>
          <t>Notifikasi Transaksional</t>
        </is>
      </c>
      <c r="D42" s="19" t="inlineStr">
        <is>
          <t>Sistem Notifikasi Email Resmi &amp; Pengingat Kedatangan (SMTP)</t>
        </is>
      </c>
      <c r="E42" s="13" t="n">
        <v>1</v>
      </c>
      <c r="F42" s="13" t="n">
        <v>3</v>
      </c>
      <c r="G42" s="28">
        <f>E42*F42</f>
        <v/>
      </c>
      <c r="H42" s="13" t="n">
        <v>1.3</v>
      </c>
      <c r="I42" s="16" t="n">
        <v>50000</v>
      </c>
      <c r="J42" s="17">
        <f>G42*H42*I42</f>
        <v/>
      </c>
      <c r="K42" s="13" t="inlineStr">
        <is>
          <t>V2.0</t>
        </is>
      </c>
    </row>
    <row r="43">
      <c r="B43" s="32" t="inlineStr"/>
      <c r="C43" s="33" t="inlineStr">
        <is>
          <t>Subtotal Roadmap V2.0 (TIDAK Masuk Total Anggaran V1.0)</t>
        </is>
      </c>
      <c r="D43" s="32" t="inlineStr"/>
      <c r="E43" s="32" t="inlineStr"/>
      <c r="F43" s="32" t="inlineStr"/>
      <c r="G43" s="34">
        <f>SUM(G37:G42)</f>
        <v/>
      </c>
      <c r="H43" s="32" t="inlineStr"/>
      <c r="I43" s="32" t="inlineStr"/>
      <c r="J43" s="35">
        <f>SUM(J37:J42)</f>
        <v/>
      </c>
      <c r="K43" s="34" t="inlineStr">
        <is>
          <t>V2.0 Plan</t>
        </is>
      </c>
    </row>
    <row r="45">
      <c r="B45" s="3" t="inlineStr">
        <is>
          <t>C. BIAYA OPERASIONAL</t>
        </is>
      </c>
    </row>
    <row r="46">
      <c r="B46" s="7" t="inlineStr">
        <is>
          <t>No.</t>
        </is>
      </c>
      <c r="C46" s="7" t="inlineStr">
        <is>
          <t>Uraian Operasional</t>
        </is>
      </c>
      <c r="D46" s="7" t="inlineStr">
        <is>
          <t>Rincian Pelaksanaan</t>
        </is>
      </c>
      <c r="E46" s="7" t="inlineStr">
        <is>
          <t>Volume (Jumlah)</t>
        </is>
      </c>
      <c r="F46" s="7" t="inlineStr">
        <is>
          <t>Frekuensi</t>
        </is>
      </c>
      <c r="G46" s="7" t="inlineStr">
        <is>
          <t>Total</t>
        </is>
      </c>
      <c r="H46" s="7" t="inlineStr">
        <is>
          <t>Harga Satuan (Rp)</t>
        </is>
      </c>
      <c r="I46" s="7" t="inlineStr">
        <is>
          <t>Total Biaya (Rp)</t>
        </is>
      </c>
    </row>
    <row r="47">
      <c r="B47" s="8" t="n">
        <v>28</v>
      </c>
      <c r="C47" s="9" t="inlineStr">
        <is>
          <t>Sosialisasi &amp; Demo ke Suara Surabaya</t>
        </is>
      </c>
      <c r="D47" s="18" t="inlineStr">
        <is>
          <t>Presentasi demo sistem langsung ke pimpinan redaksi &amp; staf HRD SS</t>
        </is>
      </c>
      <c r="E47" s="8" t="n">
        <v>1</v>
      </c>
      <c r="F47" s="8" t="n">
        <v>1</v>
      </c>
      <c r="G47" s="27">
        <f>E47*F47</f>
        <v/>
      </c>
      <c r="H47" s="11" t="n">
        <v>500000</v>
      </c>
      <c r="I47" s="12">
        <f>G47*H47</f>
        <v/>
      </c>
    </row>
    <row r="48">
      <c r="B48" s="13" t="n">
        <v>29</v>
      </c>
      <c r="C48" s="14" t="inlineStr">
        <is>
          <t>Dokumentasi &amp; Pelatihan Pengguna (Admin)</t>
        </is>
      </c>
      <c r="D48" s="19" t="inlineStr">
        <is>
          <t>Penyusunan User Manual &amp; sesi pelatihan operasional staf redaksi</t>
        </is>
      </c>
      <c r="E48" s="13" t="n">
        <v>1</v>
      </c>
      <c r="F48" s="13" t="n">
        <v>1</v>
      </c>
      <c r="G48" s="28">
        <f>E48*F48</f>
        <v/>
      </c>
      <c r="H48" s="16" t="n">
        <v>300000</v>
      </c>
      <c r="I48" s="17">
        <f>G48*H48</f>
        <v/>
      </c>
    </row>
    <row r="49">
      <c r="B49" s="20" t="inlineStr"/>
      <c r="C49" s="21" t="inlineStr">
        <is>
          <t>Subtotal C. Biaya Operasional</t>
        </is>
      </c>
      <c r="D49" s="20" t="inlineStr"/>
      <c r="E49" s="20" t="inlineStr"/>
      <c r="F49" s="20" t="inlineStr"/>
      <c r="G49" s="20" t="inlineStr"/>
      <c r="H49" s="20" t="inlineStr"/>
      <c r="I49" s="23">
        <f>SUM(I47:I48)</f>
        <v/>
      </c>
    </row>
    <row r="51">
      <c r="C51" s="36" t="inlineStr">
        <is>
          <t>Jumlah Subtotal (A + B [V1.0] + C)</t>
        </is>
      </c>
      <c r="I51" s="37">
        <f>I9+J34+I49</f>
        <v/>
      </c>
    </row>
    <row r="52">
      <c r="C52" s="36" t="inlineStr">
        <is>
          <t>Biaya Tak Terduga (10% dari Subtotal)</t>
        </is>
      </c>
      <c r="I52" s="37">
        <f>I51*0.1</f>
        <v/>
      </c>
    </row>
    <row r="53">
      <c r="C53" s="38" t="inlineStr">
        <is>
          <t>TOTAL ANGGARAN (BIAYA PRODUKSI V1.0)</t>
        </is>
      </c>
      <c r="I53" s="39">
        <f>I51+I52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H25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6" customWidth="1" min="2" max="2"/>
    <col width="45" customWidth="1" min="3" max="3"/>
    <col width="12" customWidth="1" min="4" max="4"/>
    <col width="14" customWidth="1" min="5" max="5"/>
    <col width="12" customWidth="1" min="6" max="6"/>
    <col width="20" customWidth="1" min="7" max="7"/>
    <col width="22" customWidth="1" min="8" max="8"/>
  </cols>
  <sheetData>
    <row r="1">
      <c r="B1" s="1" t="inlineStr">
        <is>
          <t>REKAPITULASI BIAYA PENGEMBANGAN PER FITUR</t>
        </is>
      </c>
    </row>
    <row r="2">
      <c r="B2" s="2" t="inlineStr">
        <is>
          <t>Sistem E-Internship Suara Surabaya Media (Volume dalam Orang-Hari &amp; Paket)</t>
        </is>
      </c>
    </row>
    <row r="4">
      <c r="B4" s="7" t="inlineStr">
        <is>
          <t>No.</t>
        </is>
      </c>
      <c r="C4" s="7" t="inlineStr">
        <is>
          <t>Uraian Modul / Fitur Sistem</t>
        </is>
      </c>
      <c r="D4" s="7" t="inlineStr">
        <is>
          <t>Jumlah Dev</t>
        </is>
      </c>
      <c r="E4" s="7" t="inlineStr">
        <is>
          <t>Durasi (Hari)</t>
        </is>
      </c>
      <c r="F4" s="7" t="inlineStr">
        <is>
          <t>Total OH</t>
        </is>
      </c>
      <c r="G4" s="7" t="inlineStr">
        <is>
          <t>Harga Satuan (Rp)</t>
        </is>
      </c>
      <c r="H4" s="7" t="inlineStr">
        <is>
          <t>Total Biaya (Rp)</t>
        </is>
      </c>
    </row>
    <row r="5">
      <c r="B5" s="3" t="inlineStr">
        <is>
          <t>A. Pengembangan Fitur V1.0 (Volume dalam Orang-Hari)</t>
        </is>
      </c>
    </row>
    <row r="6">
      <c r="B6" s="8" t="n">
        <v>1</v>
      </c>
      <c r="C6" s="9" t="inlineStr">
        <is>
          <t>Desain UI/UX Aplikasi (Wireframe &amp; Branding Suara Surabaya)</t>
        </is>
      </c>
      <c r="D6" s="8" t="n">
        <v>1</v>
      </c>
      <c r="E6" s="8" t="n">
        <v>6</v>
      </c>
      <c r="F6" s="27">
        <f>D6*E6</f>
        <v/>
      </c>
      <c r="G6" s="11" t="n">
        <v>30000</v>
      </c>
      <c r="H6" s="12">
        <f>'RAB - Biaya Produksi'!J13+'RAB - Biaya Produksi'!J14</f>
        <v/>
      </c>
    </row>
    <row r="7">
      <c r="B7" s="13" t="n">
        <v>2</v>
      </c>
      <c r="C7" s="14" t="inlineStr">
        <is>
          <t>Autentikasi &amp; Otorisasi RBAC Sanctum Token (3 Role)</t>
        </is>
      </c>
      <c r="D7" s="13" t="n">
        <v>2</v>
      </c>
      <c r="E7" s="13" t="n">
        <v>5</v>
      </c>
      <c r="F7" s="28">
        <f>D7*E7</f>
        <v/>
      </c>
      <c r="G7" s="16" t="n">
        <v>50000</v>
      </c>
      <c r="H7" s="17">
        <f>'RAB - Biaya Produksi'!J15+'RAB - Biaya Produksi'!J16</f>
        <v/>
      </c>
    </row>
    <row r="8">
      <c r="B8" s="8" t="n">
        <v>3</v>
      </c>
      <c r="C8" s="9" t="inlineStr">
        <is>
          <t>Beranda &amp; Katalog Profil Divisi (Auto-Slide 5 Detik)</t>
        </is>
      </c>
      <c r="D8" s="8" t="n">
        <v>1</v>
      </c>
      <c r="E8" s="8" t="n">
        <v>3</v>
      </c>
      <c r="F8" s="27">
        <f>D8*E8</f>
        <v/>
      </c>
      <c r="G8" s="11" t="n">
        <v>50000</v>
      </c>
      <c r="H8" s="12">
        <f>'RAB - Biaya Produksi'!J17</f>
        <v/>
      </c>
    </row>
    <row r="9">
      <c r="B9" s="13" t="n">
        <v>4</v>
      </c>
      <c r="C9" s="14" t="inlineStr">
        <is>
          <t>Formulir Pendaftaran Multi-Step &amp; Pilihan Divisi</t>
        </is>
      </c>
      <c r="D9" s="13" t="n">
        <v>2</v>
      </c>
      <c r="E9" s="13" t="n">
        <v>5</v>
      </c>
      <c r="F9" s="28">
        <f>D9*E9</f>
        <v/>
      </c>
      <c r="G9" s="16" t="n">
        <v>50000</v>
      </c>
      <c r="H9" s="17">
        <f>'RAB - Biaya Produksi'!J18+'RAB - Biaya Produksi'!J19</f>
        <v/>
      </c>
    </row>
    <row r="10">
      <c r="B10" s="8" t="n">
        <v>5</v>
      </c>
      <c r="C10" s="9" t="inlineStr">
        <is>
          <t>Modul Upload Berkas (Validasi CV, KTP, Surat, Proposal)</t>
        </is>
      </c>
      <c r="D10" s="8" t="n">
        <v>2</v>
      </c>
      <c r="E10" s="8" t="n">
        <v>5</v>
      </c>
      <c r="F10" s="27">
        <f>D10*E10</f>
        <v/>
      </c>
      <c r="G10" s="11" t="n">
        <v>50000</v>
      </c>
      <c r="H10" s="12">
        <f>'RAB - Biaya Produksi'!J20+'RAB - Biaya Produksi'!J21</f>
        <v/>
      </c>
    </row>
    <row r="11">
      <c r="B11" s="13" t="n">
        <v>6</v>
      </c>
      <c r="C11" s="14" t="inlineStr">
        <is>
          <t>Portal Pelamar &amp; Linimasa Tracking Status</t>
        </is>
      </c>
      <c r="D11" s="13" t="n">
        <v>2</v>
      </c>
      <c r="E11" s="13" t="n">
        <v>5</v>
      </c>
      <c r="F11" s="28">
        <f>D11*E11</f>
        <v/>
      </c>
      <c r="G11" s="16" t="n">
        <v>50000</v>
      </c>
      <c r="H11" s="17">
        <f>'RAB - Biaya Produksi'!J22+'RAB - Biaya Produksi'!J23</f>
        <v/>
      </c>
    </row>
    <row r="12">
      <c r="B12" s="8" t="n">
        <v>7</v>
      </c>
      <c r="C12" s="9" t="inlineStr">
        <is>
          <t>Alur Pendaftaran Ulang Alumni Magang (Re-Apply)</t>
        </is>
      </c>
      <c r="D12" s="8" t="n">
        <v>2</v>
      </c>
      <c r="E12" s="8" t="n">
        <v>2</v>
      </c>
      <c r="F12" s="27">
        <f>D12*E12</f>
        <v/>
      </c>
      <c r="G12" s="11" t="n">
        <v>50000</v>
      </c>
      <c r="H12" s="12">
        <f>'RAB - Biaya Produksi'!J24</f>
        <v/>
      </c>
    </row>
    <row r="13">
      <c r="B13" s="13" t="n">
        <v>8</v>
      </c>
      <c r="C13" s="14" t="inlineStr">
        <is>
          <t>Antrean Verifikasi Admin &amp; Preview Berkas</t>
        </is>
      </c>
      <c r="D13" s="13" t="n">
        <v>2</v>
      </c>
      <c r="E13" s="13" t="n">
        <v>5</v>
      </c>
      <c r="F13" s="28">
        <f>D13*E13</f>
        <v/>
      </c>
      <c r="G13" s="16" t="n">
        <v>50000</v>
      </c>
      <c r="H13" s="17">
        <f>'RAB - Biaya Produksi'!J25+'RAB - Biaya Produksi'!J26</f>
        <v/>
      </c>
    </row>
    <row r="14">
      <c r="B14" s="8" t="n">
        <v>9</v>
      </c>
      <c r="C14" s="9" t="inlineStr">
        <is>
          <t>Form Eksekusi Penerimaan &amp; Penolakan Pelamar</t>
        </is>
      </c>
      <c r="D14" s="8" t="n">
        <v>2</v>
      </c>
      <c r="E14" s="8" t="n">
        <v>3</v>
      </c>
      <c r="F14" s="27">
        <f>D14*E14</f>
        <v/>
      </c>
      <c r="G14" s="11" t="n">
        <v>50000</v>
      </c>
      <c r="H14" s="12">
        <f>'RAB - Biaya Produksi'!J27+'RAB - Biaya Produksi'!J28</f>
        <v/>
      </c>
    </row>
    <row r="15">
      <c r="B15" s="13" t="n">
        <v>10</v>
      </c>
      <c r="C15" s="14" t="inlineStr">
        <is>
          <t>Manajemen Kuota Divisi Penyiaran &amp; Redaksi</t>
        </is>
      </c>
      <c r="D15" s="13" t="n">
        <v>2</v>
      </c>
      <c r="E15" s="13" t="n">
        <v>4</v>
      </c>
      <c r="F15" s="28">
        <f>D15*E15</f>
        <v/>
      </c>
      <c r="G15" s="16" t="n">
        <v>50000</v>
      </c>
      <c r="H15" s="17">
        <f>'RAB - Biaya Produksi'!J29+'RAB - Biaya Produksi'!J30</f>
        <v/>
      </c>
    </row>
    <row r="16">
      <c r="B16" s="8" t="n">
        <v>11</v>
      </c>
      <c r="C16" s="9" t="inlineStr">
        <is>
          <t>Antarmuka Responsif &amp; Dual Theme (Light &amp; Dark Mode)</t>
        </is>
      </c>
      <c r="D16" s="8" t="n">
        <v>2</v>
      </c>
      <c r="E16" s="8" t="n">
        <v>3</v>
      </c>
      <c r="F16" s="27">
        <f>D16*E16</f>
        <v/>
      </c>
      <c r="G16" s="11" t="n">
        <v>50000</v>
      </c>
      <c r="H16" s="12">
        <f>'RAB - Biaya Produksi'!J31</f>
        <v/>
      </c>
    </row>
    <row r="17">
      <c r="B17" s="13" t="n">
        <v>12</v>
      </c>
      <c r="C17" s="14" t="inlineStr">
        <is>
          <t>Deployment Server On-Premise SS &amp; 1-Click Launcher</t>
        </is>
      </c>
      <c r="D17" s="13" t="n">
        <v>1</v>
      </c>
      <c r="E17" s="13" t="n">
        <v>4</v>
      </c>
      <c r="F17" s="28">
        <f>D17*E17</f>
        <v/>
      </c>
      <c r="G17" s="16" t="n">
        <v>50000</v>
      </c>
      <c r="H17" s="17">
        <f>'RAB - Biaya Produksi'!J32</f>
        <v/>
      </c>
    </row>
    <row r="18">
      <c r="B18" s="8" t="n">
        <v>13</v>
      </c>
      <c r="C18" s="9" t="inlineStr">
        <is>
          <t>Testing &amp; QA Fungsional Sistem</t>
        </is>
      </c>
      <c r="D18" s="8" t="n">
        <v>1</v>
      </c>
      <c r="E18" s="8" t="n">
        <v>5</v>
      </c>
      <c r="F18" s="27">
        <f>D18*E18</f>
        <v/>
      </c>
      <c r="G18" s="11" t="n">
        <v>20000</v>
      </c>
      <c r="H18" s="12">
        <f>'RAB - Biaya Produksi'!J33</f>
        <v/>
      </c>
    </row>
    <row r="19">
      <c r="B19" s="20" t="inlineStr"/>
      <c r="C19" s="21" t="inlineStr">
        <is>
          <t>Subtotal A. Pengembangan Fitur V1.0</t>
        </is>
      </c>
      <c r="D19" s="20" t="inlineStr"/>
      <c r="E19" s="20" t="inlineStr"/>
      <c r="F19" s="29">
        <f>SUM(F6:F18)</f>
        <v/>
      </c>
      <c r="G19" s="20" t="inlineStr"/>
      <c r="H19" s="23">
        <f>SUM(H6:H18)</f>
        <v/>
      </c>
    </row>
    <row r="21">
      <c r="B21" s="3" t="inlineStr">
        <is>
          <t>B. Infrastruktur &amp; Lisensi (Volume dalam Paket / Tahun)</t>
        </is>
      </c>
    </row>
    <row r="22">
      <c r="B22" s="8" t="n">
        <v>14</v>
      </c>
      <c r="C22" s="9" t="inlineStr">
        <is>
          <t>Server Deployment On-Premise Suara Surabaya (Compute)</t>
        </is>
      </c>
      <c r="D22" s="8" t="n">
        <v>1</v>
      </c>
      <c r="E22" s="8" t="n">
        <v>1</v>
      </c>
      <c r="F22" s="27">
        <f>D22*E22</f>
        <v/>
      </c>
      <c r="G22" s="11" t="n">
        <v>0</v>
      </c>
      <c r="H22" s="12">
        <f>F22*G22</f>
        <v/>
      </c>
    </row>
    <row r="23">
      <c r="B23" s="13" t="n">
        <v>15</v>
      </c>
      <c r="C23" s="14" t="inlineStr">
        <is>
          <t>Database Server Local PostgreSQL (Self-Hosted)</t>
        </is>
      </c>
      <c r="D23" s="13" t="n">
        <v>1</v>
      </c>
      <c r="E23" s="13" t="n">
        <v>1</v>
      </c>
      <c r="F23" s="28">
        <f>D23*E23</f>
        <v/>
      </c>
      <c r="G23" s="16" t="n">
        <v>0</v>
      </c>
      <c r="H23" s="17">
        <f>F23*G23</f>
        <v/>
      </c>
    </row>
    <row r="24">
      <c r="B24" s="8" t="n">
        <v>16</v>
      </c>
      <c r="C24" s="9" t="inlineStr">
        <is>
          <t>Domain Web Resmi (.id / .net) &amp; Sertifikat SSL</t>
        </is>
      </c>
      <c r="D24" s="8" t="n">
        <v>1</v>
      </c>
      <c r="E24" s="8" t="n">
        <v>1</v>
      </c>
      <c r="F24" s="27">
        <f>D24*E24</f>
        <v/>
      </c>
      <c r="G24" s="11" t="n">
        <v>252000</v>
      </c>
      <c r="H24" s="12">
        <f>F24*G24</f>
        <v/>
      </c>
    </row>
    <row r="25">
      <c r="B25" s="20" t="inlineStr"/>
      <c r="C25" s="21" t="inlineStr">
        <is>
          <t>Subtotal B. Infrastruktur &amp; Lisensi Tahunan</t>
        </is>
      </c>
      <c r="D25" s="20" t="inlineStr"/>
      <c r="E25" s="20" t="inlineStr"/>
      <c r="F25" s="29">
        <f>SUM(F22:F24)</f>
        <v/>
      </c>
      <c r="G25" s="20" t="inlineStr"/>
      <c r="H25" s="23">
        <f>SUM(H22:H24)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8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6" customWidth="1" min="2" max="2"/>
    <col width="32" customWidth="1" min="3" max="3"/>
    <col width="45" customWidth="1" min="4" max="4"/>
    <col width="20" customWidth="1" min="5" max="5"/>
    <col width="16" customWidth="1" min="6" max="6"/>
  </cols>
  <sheetData>
    <row r="1">
      <c r="B1" s="1" t="inlineStr">
        <is>
          <t>SUMBER DANA &amp; RENCANA PENDANAAN PROYEK</t>
        </is>
      </c>
    </row>
    <row r="2">
      <c r="B2" s="2" t="inlineStr">
        <is>
          <t>Alokasi Pembiayaan Pengembangan Sistem E-Internship Suara Surabaya Media</t>
        </is>
      </c>
    </row>
    <row r="4">
      <c r="B4" s="7" t="inlineStr">
        <is>
          <t>No.</t>
        </is>
      </c>
      <c r="C4" s="7" t="inlineStr">
        <is>
          <t>Sumber Dana</t>
        </is>
      </c>
      <c r="D4" s="7" t="inlineStr">
        <is>
          <t>Keterangan &amp; Rencana Alokasi</t>
        </is>
      </c>
      <c r="E4" s="7" t="inlineStr">
        <is>
          <t>Jumlah (Rp)</t>
        </is>
      </c>
      <c r="F4" s="7" t="inlineStr">
        <is>
          <t>% dari Total</t>
        </is>
      </c>
    </row>
    <row r="5">
      <c r="B5" s="8" t="n">
        <v>1</v>
      </c>
      <c r="C5" s="9" t="inlineStr">
        <is>
          <t>Dana Mandiri / Patungan Anggota Tim</t>
        </is>
      </c>
      <c r="D5" s="10" t="inlineStr">
        <is>
          <t>Cadangan tak terduga &amp; operasional transportasi internal tim</t>
        </is>
      </c>
      <c r="E5" s="12" t="n">
        <v>193400</v>
      </c>
      <c r="F5" s="40">
        <f>(E5/$E$8)</f>
        <v/>
      </c>
    </row>
    <row r="6">
      <c r="B6" s="13" t="n">
        <v>2</v>
      </c>
      <c r="C6" s="14" t="inlineStr">
        <is>
          <t>Dana Kemitraan Klien (Suara Surabaya Media)</t>
        </is>
      </c>
      <c r="D6" s="15" t="inlineStr">
        <is>
          <t>Alokasi anggaran pengadaan software on-premise (Sesuai BAST/Kontrak Rp 7,5 Jt)</t>
        </is>
      </c>
      <c r="E6" s="17" t="n">
        <v>7500000</v>
      </c>
      <c r="F6" s="41">
        <f>(E6/$E$8)</f>
        <v/>
      </c>
    </row>
    <row r="7">
      <c r="B7" s="8" t="n">
        <v>3</v>
      </c>
      <c r="C7" s="9" t="inlineStr">
        <is>
          <t>Dana Hibah / Kompetisi Capstone Akademik</t>
        </is>
      </c>
      <c r="D7" s="10" t="inlineStr">
        <is>
          <t>Subsidi luaran tugas Analisis &amp; Perancangan Sistem (SAD UINSA 2026)</t>
        </is>
      </c>
      <c r="E7" s="12" t="n">
        <v>0</v>
      </c>
      <c r="F7" s="40">
        <f>(E7/$E$8)</f>
        <v/>
      </c>
    </row>
    <row r="8">
      <c r="B8" s="20" t="inlineStr"/>
      <c r="C8" s="21" t="inlineStr">
        <is>
          <t>TOTAL SUMBER DANA</t>
        </is>
      </c>
      <c r="D8" s="22" t="inlineStr">
        <is>
          <t>Total pendanaan tersedia untuk eksekusi proyek</t>
        </is>
      </c>
      <c r="E8" s="23">
        <f>SUM(E5:E7)</f>
        <v/>
      </c>
      <c r="F8" s="42">
        <f>SUM(F5:F7)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17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24" customWidth="1" min="2" max="2"/>
    <col width="40" customWidth="1" min="3" max="3"/>
    <col width="30" customWidth="1" min="4" max="4"/>
    <col width="24" customWidth="1" min="5" max="5"/>
    <col width="35" customWidth="1" min="6" max="6"/>
  </cols>
  <sheetData>
    <row r="1">
      <c r="B1" s="1" t="inlineStr">
        <is>
          <t>SKEMA PENETAPAN HARGA JUAL KE KLIEN (SUARA SURABAYA MEDIA)</t>
        </is>
      </c>
    </row>
    <row r="2">
      <c r="B2" s="2" t="inlineStr">
        <is>
          <t>Dihitung dari Biaya Produksi Software di sheet 'RAB - Biaya Produksi'</t>
        </is>
      </c>
    </row>
    <row r="4">
      <c r="B4" s="3" t="inlineStr">
        <is>
          <t>Referensi Komponen Biaya Dasar Produksi:</t>
        </is>
      </c>
    </row>
    <row r="5">
      <c r="B5" s="43" t="inlineStr">
        <is>
          <t>Total Biaya Produksi On-Premise Suara Surabaya (A + B + C + Tak Terduga)</t>
        </is>
      </c>
      <c r="D5" s="44">
        <f>'RAB - Biaya Produksi'!I53</f>
        <v/>
      </c>
    </row>
    <row r="6">
      <c r="B6" s="43" t="inlineStr">
        <is>
          <t>Biaya Rekayasa Pengembangan Fitur Saja (Bagian B, Versi 1.0)</t>
        </is>
      </c>
      <c r="D6" s="44">
        <f>'RAB - Biaya Produksi'!J34</f>
        <v/>
      </c>
    </row>
    <row r="7">
      <c r="B7" s="43" t="inlineStr">
        <is>
          <t>Biaya Infrastruktur Riil Pengadaan Domain &amp; SSL (Bagian A)</t>
        </is>
      </c>
      <c r="D7" s="44">
        <f>'RAB - Biaya Produksi'!I9</f>
        <v/>
      </c>
    </row>
    <row r="9">
      <c r="B9" s="36" t="inlineStr">
        <is>
          <t>Margin Keuntungan Model Sekali Bayar</t>
        </is>
      </c>
      <c r="C9" s="45" t="n">
        <v>0.3</v>
      </c>
      <c r="D9" s="46" t="inlineStr">
        <is>
          <t>(Asumsi margin keuntungan 30% pengadaan perangkat lunak komersial)</t>
        </is>
      </c>
    </row>
    <row r="10">
      <c r="B10" s="36" t="inlineStr">
        <is>
          <t>Margin Serah Terima Penuh &amp; Source Code</t>
        </is>
      </c>
      <c r="C10" s="45" t="n">
        <v>0.5</v>
      </c>
      <c r="D10" s="46" t="inlineStr">
        <is>
          <t>(Margin 50% karena menyerahkan full source code &amp; hak kelola mandiri)</t>
        </is>
      </c>
    </row>
    <row r="11">
      <c r="B11" s="36" t="inlineStr">
        <is>
          <t>Margin Maintenance Bulanan (SaaS)</t>
        </is>
      </c>
      <c r="C11" s="45" t="n">
        <v>0.25</v>
      </c>
      <c r="D11" s="46" t="inlineStr">
        <is>
          <t>(Markup 25% di atas biaya infrastruktur bulanan untuk support rutin)</t>
        </is>
      </c>
    </row>
    <row r="13">
      <c r="B13" s="3" t="inlineStr">
        <is>
          <t>PILIHAN MODEL HARGA KE KLIEN:</t>
        </is>
      </c>
    </row>
    <row r="14">
      <c r="B14" s="7" t="inlineStr">
        <is>
          <t>Model Harga</t>
        </is>
      </c>
      <c r="C14" s="7" t="inlineStr">
        <is>
          <t>Deskripsi untuk Klien</t>
        </is>
      </c>
      <c r="D14" s="7" t="inlineStr">
        <is>
          <t>Cara Hitung / Formula</t>
        </is>
      </c>
      <c r="E14" s="7" t="inlineStr">
        <is>
          <t>Estimasi Harga Software</t>
        </is>
      </c>
      <c r="F14" s="7" t="inlineStr">
        <is>
          <t>Kesesuaian Suara Surabaya Media</t>
        </is>
      </c>
    </row>
    <row r="15">
      <c r="B15" s="28" t="inlineStr">
        <is>
          <t>1. Sewa Cloud Terkelola
(Opsi Cloud Hosting)</t>
        </is>
      </c>
      <c r="C15" s="15" t="inlineStr">
        <is>
          <t>Opsi jika Suara Surabaya tidak menyediakan server sendiri dan meminta tim menyewa cloud publik (VPS Alibaba Cloud + DB Supabase + Domain). Termasuk garansi 3 bulan.</t>
        </is>
      </c>
      <c r="D15" s="15" t="inlineStr">
        <is>
          <t>Biaya Dev V1.0 (D6) + Sewa Cloud 1 Th (Rp 10.452.000) + Ops (Rp 800.000) + Margin 30%</t>
        </is>
      </c>
      <c r="E15" s="17" t="n">
        <v>24587420</v>
      </c>
      <c r="F15" s="47" t="inlineStr">
        <is>
          <t>Opsi pembanding jika tidak memanfaatkan server fisik/on-premise milik Suara Surabaya.</t>
        </is>
      </c>
    </row>
    <row r="16">
      <c r="B16" s="27" t="inlineStr">
        <is>
          <t>2. Berlangganan
(SaaS / B2B)</t>
        </is>
      </c>
      <c r="C16" s="10" t="inlineStr">
        <is>
          <t>Model langganan terkelola jika sistem dimonetisasi ke perguruan tinggi mitra (Silver/Gold Partnership) dengan akses kuota prioritas.</t>
        </is>
      </c>
      <c r="D16" s="10" t="inlineStr">
        <is>
          <t>Setup: 50% Biaya Dev (Rp 2.971.000)
Bulanan: Rp 1.088.750 / bln</t>
        </is>
      </c>
      <c r="E16" s="48" t="inlineStr">
        <is>
          <t>Setup: Rp 2.971.000
Bulanan: Rp 1.088.750</t>
        </is>
      </c>
      <c r="F16" s="49" t="inlineStr">
        <is>
          <t>Model ideal untuk ekspansi ekosistem kemitraan kampus luar di masa depan.</t>
        </is>
      </c>
    </row>
    <row r="17">
      <c r="B17" s="50" t="inlineStr">
        <is>
          <t>3. Implementasi On-Premise
(Server Suara Surabaya) ⭐</t>
        </is>
      </c>
      <c r="C17" s="51" t="inlineStr">
        <is>
          <t>Aplikasi di-deploy langsung pada server fisik / VM internal on-premise milik PT Radio Suara Surabaya (Wonokitri). Biaya sewa server cloud dieliminasi (Rp 0), pengeluaran riil infrastruktur hanya Domain &amp; SSL (Rp 252.000/th). Klien mendapatkan paket lengkap seluruh 12 modul fungsi V1.0, pelatihan admin, dan garansi pemeliharaan lokal.</t>
        </is>
      </c>
      <c r="D17" s="52" t="inlineStr">
        <is>
          <t>Paket Flat Enterprise On-Premise (Full Fitur V1.0 + Pelatihan + Garansi)
(Kesepakatan Khusus Instansi Suara Surabaya Media)</t>
        </is>
      </c>
      <c r="E17" s="39" t="n">
        <v>7500000</v>
      </c>
      <c r="F17" s="53" t="inlineStr">
        <is>
          <t>MODEL TERPILIH KESEPAKATAN: Paling efisien &amp; hemat biaya karena Suara Surabaya telah memiliki server &amp; tim IT mandiri.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2026-10-05T08:24:22Z</dcterms:created>
  <dcterms:modified xmlns:dcterms="http://purl.org/dc/terms/" xmlns:xsi="http://www.w3.org/2001/XMLSchema-instance" xsi:type="dcterms:W3CDTF">2026-10-05T08:24:22Z</dcterms:modified>
</cp:coreProperties>
</file>