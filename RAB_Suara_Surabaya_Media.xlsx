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 Eksekutif" sheetId="1" state="visible" r:id="rId1"/>
    <sheet xmlns:r="http://schemas.openxmlformats.org/officeDocument/2006/relationships" name="RAB Full Fitur Enterprise" sheetId="2" state="visible" r:id="rId2"/>
    <sheet xmlns:r="http://schemas.openxmlformats.org/officeDocument/2006/relationships" name="Model Bisnis &amp; ROI Kamp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p &quot;#,##0"/>
  </numFmts>
  <fonts count="10">
    <font>
      <name val="Calibri"/>
      <family val="2"/>
      <color theme="1"/>
      <sz val="11"/>
      <scheme val="minor"/>
    </font>
    <font>
      <name val="Calibri"/>
      <b val="1"/>
      <color rgb="0064748B"/>
      <sz val="11"/>
    </font>
    <font>
      <name val="Calibri"/>
      <b val="1"/>
      <color rgb="001D4ED8"/>
      <sz val="15"/>
    </font>
    <font>
      <name val="Calibri"/>
      <i val="1"/>
      <color rgb="0064748B"/>
      <sz val="10"/>
    </font>
    <font>
      <name val="Calibri"/>
      <b val="1"/>
      <color rgb="001D4ED8"/>
      <sz val="11"/>
    </font>
    <font>
      <name val="Calibri"/>
      <b val="1"/>
      <color rgb="001E293B"/>
      <sz val="10"/>
    </font>
    <font>
      <name val="Calibri"/>
      <color rgb="001E293B"/>
      <sz val="10"/>
    </font>
    <font>
      <name val="Calibri"/>
      <b val="1"/>
      <color rgb="00FFFFFF"/>
      <sz val="10"/>
    </font>
    <font>
      <name val="Calibri"/>
      <color rgb="0064748B"/>
      <sz val="9"/>
    </font>
    <font>
      <name val="Calibri"/>
      <b val="1"/>
      <color rgb="00047857"/>
      <sz val="10"/>
    </font>
  </fonts>
  <fills count="8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D4ED8"/>
        <bgColor rgb="001D4ED8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EFF6FF"/>
        <bgColor rgb="00EFF6FF"/>
      </patternFill>
    </fill>
    <fill>
      <patternFill patternType="solid">
        <fgColor rgb="00DBEAFE"/>
        <bgColor rgb="00DBEAFE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D4ED8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9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9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right" vertical="center"/>
    </xf>
    <xf numFmtId="0" fontId="4" fillId="6" borderId="2" applyAlignment="1" pivotButton="0" quotePrefix="0" xfId="0">
      <alignment horizontal="left" vertical="center"/>
    </xf>
    <xf numFmtId="0" fontId="5" fillId="6" borderId="2" pivotButton="0" quotePrefix="0" xfId="0"/>
    <xf numFmtId="9" fontId="4" fillId="6" borderId="2" applyAlignment="1" pivotButton="0" quotePrefix="0" xfId="0">
      <alignment horizontal="center" vertical="center"/>
    </xf>
    <xf numFmtId="164" fontId="4" fillId="6" borderId="2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wrapText="1"/>
    </xf>
    <xf numFmtId="164" fontId="6" fillId="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right" vertical="center"/>
    </xf>
    <xf numFmtId="0" fontId="0" fillId="6" borderId="2" pivotButton="0" quotePrefix="0" xfId="0"/>
    <xf numFmtId="0" fontId="4" fillId="6" borderId="2" pivotButton="0" quotePrefix="0" xfId="0"/>
    <xf numFmtId="0" fontId="5" fillId="0" borderId="0" pivotButton="0" quotePrefix="0" xfId="0"/>
    <xf numFmtId="0" fontId="8" fillId="0" borderId="0" pivotButton="0" quotePrefix="0" xfId="0"/>
    <xf numFmtId="0" fontId="4" fillId="7" borderId="2" applyAlignment="1" pivotButton="0" quotePrefix="0" xfId="0">
      <alignment horizontal="left" vertical="center"/>
    </xf>
    <xf numFmtId="164" fontId="9" fillId="7" borderId="2" applyAlignment="1" pivotButton="0" quotePrefix="0" xfId="0">
      <alignment horizontal="right" vertical="center"/>
    </xf>
    <xf numFmtId="0" fontId="6" fillId="7" borderId="2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1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50" customWidth="1" min="3" max="3"/>
    <col width="16" customWidth="1" min="4" max="4"/>
    <col width="24" customWidth="1" min="5" max="5"/>
  </cols>
  <sheetData>
    <row r="2">
      <c r="B2" s="1" t="inlineStr">
        <is>
          <t>SUARA SURABAYA MEDIA (RADIO SUARA SURABAYA FM 100)</t>
        </is>
      </c>
    </row>
    <row r="3">
      <c r="B3" s="2" t="inlineStr">
        <is>
          <t>RENCANA ANGGARAN BIAYA (RAB) &amp; ANALISIS MODEL BISNIS</t>
        </is>
      </c>
    </row>
    <row r="4">
      <c r="B4" s="3" t="inlineStr">
        <is>
          <t>Pengembangan Sistem Informasi E-Internship &amp; Talent Management (Full Enterprise) Pada Server Internal Suara Surabaya</t>
        </is>
      </c>
    </row>
    <row r="6">
      <c r="B6" s="4" t="inlineStr">
        <is>
          <t>INFORMASI PROYEK &amp; KETENTUAN INFRASTRUKTUR</t>
        </is>
      </c>
    </row>
    <row r="7">
      <c r="B7" s="5" t="inlineStr">
        <is>
          <t>Nama Sistem</t>
        </is>
      </c>
      <c r="C7" s="6" t="inlineStr">
        <is>
          <t>E-Internship &amp; Talent Management Suara Surabaya Media</t>
        </is>
      </c>
    </row>
    <row r="8">
      <c r="B8" s="5" t="inlineStr">
        <is>
          <t>Kategori Perangkat Lunak</t>
        </is>
      </c>
      <c r="C8" s="6" t="inlineStr">
        <is>
          <t>Full Enterprise Web Application &amp; Decision Support System (DSS)</t>
        </is>
      </c>
    </row>
    <row r="9">
      <c r="B9" s="5" t="inlineStr">
        <is>
          <t>Arsitektur Teknologi</t>
        </is>
      </c>
      <c r="C9" s="6" t="inlineStr">
        <is>
          <t>Decoupled Architecture (Next.js 14 App Router + Laravel 11 REST API + PostgreSQL 18)</t>
        </is>
      </c>
    </row>
    <row r="10">
      <c r="B10" s="5" t="inlineStr">
        <is>
          <t>Infrastruktur Server</t>
        </is>
      </c>
      <c r="C10" s="6" t="inlineStr">
        <is>
          <t>Server On-Premise Milik Suara Surabaya Media (Biaya Cloud Server = Rp 0)</t>
        </is>
      </c>
    </row>
    <row r="11">
      <c r="B11" s="5" t="inlineStr">
        <is>
          <t>Model Perolehan Bisnis</t>
        </is>
      </c>
      <c r="C11" s="6" t="inlineStr">
        <is>
          <t>Kemitraan Kampus B2B (University Partnership &amp; Talent Pool Subscription)</t>
        </is>
      </c>
    </row>
    <row r="12">
      <c r="B12" s="5" t="inlineStr">
        <is>
          <t>Total Nilai Investasi Software</t>
        </is>
      </c>
      <c r="C12" s="7" t="n">
        <v>7500000</v>
      </c>
    </row>
    <row r="13">
      <c r="B13" s="5" t="inlineStr">
        <is>
          <t>Waktu Pelaksanaan Proyek</t>
        </is>
      </c>
      <c r="C13" s="6" t="inlineStr">
        <is>
          <t>± 3 s.d. 4 Minggu (Sprints Terpadu &amp; Deployment On-Premise)</t>
        </is>
      </c>
    </row>
    <row r="14">
      <c r="B14" s="5" t="inlineStr">
        <is>
          <t>Garansi &amp; Pemeliharaan</t>
        </is>
      </c>
      <c r="C14" s="6" t="inlineStr">
        <is>
          <t>60 Hari Kalender (Prioritas Pendampingan &amp; Bug Fixing Bebas Biaya)</t>
        </is>
      </c>
    </row>
    <row r="16">
      <c r="B16" s="4" t="inlineStr">
        <is>
          <t>SKEMA TERMIN PEMBAYARAN</t>
        </is>
      </c>
    </row>
    <row r="17">
      <c r="B17" s="8" t="inlineStr">
        <is>
          <t>Tahap Pembayaran</t>
        </is>
      </c>
      <c r="C17" s="8" t="inlineStr">
        <is>
          <t>Keterangan Milestone Pekerjaan</t>
        </is>
      </c>
      <c r="D17" s="8" t="inlineStr">
        <is>
          <t>Persentase</t>
        </is>
      </c>
      <c r="E17" s="8" t="inlineStr">
        <is>
          <t>Nominal Pembayaran (Rp)</t>
        </is>
      </c>
    </row>
    <row r="18">
      <c r="B18" s="9" t="inlineStr">
        <is>
          <t>Termin 1 (Uang Muka / DP)</t>
        </is>
      </c>
      <c r="C18" s="10" t="inlineStr">
        <is>
          <t>Saat kick-off kesepakatan proyek disetujui</t>
        </is>
      </c>
      <c r="D18" s="11" t="n">
        <v>0.4</v>
      </c>
      <c r="E18" s="12">
        <f>C12*D18</f>
        <v/>
      </c>
    </row>
    <row r="19">
      <c r="B19" s="13" t="inlineStr">
        <is>
          <t>Termin 2 (Progress Pekerjaan)</t>
        </is>
      </c>
      <c r="C19" s="14" t="inlineStr">
        <is>
          <t>Setelah demo formulir pendaftaran, upload berkas, &amp; antrean admin</t>
        </is>
      </c>
      <c r="D19" s="15" t="n">
        <v>0.3</v>
      </c>
      <c r="E19" s="16">
        <f>C12*D19</f>
        <v/>
      </c>
    </row>
    <row r="20">
      <c r="B20" s="9" t="inlineStr">
        <is>
          <t>Termin 3 (Pelunasan Final)</t>
        </is>
      </c>
      <c r="C20" s="10" t="inlineStr">
        <is>
          <t>Setelah implementasi DSS, dasbor pimpinan, deployment SS &amp; serah terima</t>
        </is>
      </c>
      <c r="D20" s="11" t="n">
        <v>0.3</v>
      </c>
      <c r="E20" s="12">
        <f>C12*D20</f>
        <v/>
      </c>
    </row>
    <row r="21">
      <c r="B21" s="17" t="inlineStr">
        <is>
          <t>TOTAL KESELURUHAN</t>
        </is>
      </c>
      <c r="C21" s="18" t="inlineStr">
        <is>
          <t>100% Selesai &amp; Serah Terima Sistem</t>
        </is>
      </c>
      <c r="D21" s="19">
        <f>SUM(D18:D20)</f>
        <v/>
      </c>
      <c r="E21" s="20">
        <f>SUM(E18:E20)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25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2" customWidth="1" min="3" max="3"/>
    <col width="50" customWidth="1" min="4" max="4"/>
    <col width="10" customWidth="1" min="5" max="5"/>
    <col width="8" customWidth="1" min="6" max="6"/>
    <col width="18" customWidth="1" min="7" max="7"/>
    <col width="20" customWidth="1" min="8" max="8"/>
  </cols>
  <sheetData>
    <row r="2">
      <c r="B2" s="1" t="inlineStr">
        <is>
          <t>SUARA SURABAYA MEDIA</t>
        </is>
      </c>
    </row>
    <row r="3">
      <c r="B3" s="2" t="inlineStr">
        <is>
          <t>RINCIAN ANGGARAN BIAYA PENGEMBANGAN SOFTWARE (FULL ENTERPRISE)</t>
        </is>
      </c>
    </row>
    <row r="4">
      <c r="B4" s="3" t="inlineStr">
        <is>
          <t>Implementasi Lengkap Seluruh Modul Sistem Informasi E-Internship Pada Server On-Premise Suara Surabaya</t>
        </is>
      </c>
    </row>
    <row r="6">
      <c r="B6" s="8" t="inlineStr">
        <is>
          <t>No.</t>
        </is>
      </c>
      <c r="C6" s="8" t="inlineStr">
        <is>
          <t>Modul / Komponen Fitur</t>
        </is>
      </c>
      <c r="D6" s="8" t="inlineStr">
        <is>
          <t>Rincian Spesifikasi &amp; Arsitektur Teknis</t>
        </is>
      </c>
      <c r="E6" s="8" t="inlineStr">
        <is>
          <t>Satuan</t>
        </is>
      </c>
      <c r="F6" s="8" t="inlineStr">
        <is>
          <t>Vol.</t>
        </is>
      </c>
      <c r="G6" s="8" t="inlineStr">
        <is>
          <t>Harga Satuan (Rp)</t>
        </is>
      </c>
      <c r="H6" s="8" t="inlineStr">
        <is>
          <t>Subtotal (Rp)</t>
        </is>
      </c>
    </row>
    <row r="7">
      <c r="B7" s="21" t="n">
        <v>1</v>
      </c>
      <c r="C7" s="9" t="inlineStr">
        <is>
          <t>Arsitektur Multi-Role 3-Level</t>
        </is>
      </c>
      <c r="D7" s="22" t="inlineStr">
        <is>
          <t>Setup Next.js 14 + Laravel 11 + PostgreSQL dengan 3 role: Pelamar, Admin Redaksi/HRD, dan Pimpinan Redaksi</t>
        </is>
      </c>
      <c r="E7" s="21" t="inlineStr">
        <is>
          <t>Modul</t>
        </is>
      </c>
      <c r="F7" s="21" t="n">
        <v>1</v>
      </c>
      <c r="G7" s="23" t="n">
        <v>650000</v>
      </c>
      <c r="H7" s="12">
        <f>F7*G7</f>
        <v/>
      </c>
    </row>
    <row r="8">
      <c r="B8" s="24" t="n">
        <v>2</v>
      </c>
      <c r="C8" s="13" t="inlineStr">
        <is>
          <t>Beranda &amp; Banner Carousel 5 Detik</t>
        </is>
      </c>
      <c r="D8" s="25" t="inlineStr">
        <is>
          <t>Profil korporat media SS, navigasi terstruktur, auto-sliding banner carousel 5 detik transisi halus</t>
        </is>
      </c>
      <c r="E8" s="24" t="inlineStr">
        <is>
          <t>Modul</t>
        </is>
      </c>
      <c r="F8" s="24" t="n">
        <v>1</v>
      </c>
      <c r="G8" s="26" t="n">
        <v>350000</v>
      </c>
      <c r="H8" s="16">
        <f>F8*G8</f>
        <v/>
      </c>
    </row>
    <row r="9">
      <c r="B9" s="21" t="n">
        <v>3</v>
      </c>
      <c r="C9" s="9" t="inlineStr">
        <is>
          <t>Formulir Pendaftaran &amp; Storage Berkas</t>
        </is>
      </c>
      <c r="D9" s="22" t="inlineStr">
        <is>
          <t>Multi-step wizard pengajuan, integrasi file storage lokal server SS, validasi format berkas CV/KTP/Surat/Proposal</t>
        </is>
      </c>
      <c r="E9" s="21" t="inlineStr">
        <is>
          <t>Modul</t>
        </is>
      </c>
      <c r="F9" s="21" t="n">
        <v>1</v>
      </c>
      <c r="G9" s="23" t="n">
        <v>900000</v>
      </c>
      <c r="H9" s="12">
        <f>F9*G9</f>
        <v/>
      </c>
    </row>
    <row r="10">
      <c r="B10" s="24" t="n">
        <v>4</v>
      </c>
      <c r="C10" s="13" t="inlineStr">
        <is>
          <t>Portal Pelamar, Linimasa &amp; Re-Apply</t>
        </is>
      </c>
      <c r="D10" s="25" t="inlineStr">
        <is>
          <t>Halaman profil selaras (Light/Dark), linimasa interaktif progress seleksi, dan otomasi deteksi alumni magang</t>
        </is>
      </c>
      <c r="E10" s="24" t="inlineStr">
        <is>
          <t>Modul</t>
        </is>
      </c>
      <c r="F10" s="24" t="n">
        <v>1</v>
      </c>
      <c r="G10" s="26" t="n">
        <v>700000</v>
      </c>
      <c r="H10" s="16">
        <f>F10*G10</f>
        <v/>
      </c>
    </row>
    <row r="11">
      <c r="B11" s="21" t="n">
        <v>5</v>
      </c>
      <c r="C11" s="9" t="inlineStr">
        <is>
          <t>Engine Seleksi Cerdas (DSS Rule-Based)</t>
        </is>
      </c>
      <c r="D11" s="22" t="inlineStr">
        <is>
          <t>Otomasi penilaian kelayakan pelamar: Rule 1 (Berkas), Rule 3 (Kapasitas kuota), Rule 4 (Kesesuaian jurusan)</t>
        </is>
      </c>
      <c r="E11" s="21" t="inlineStr">
        <is>
          <t>Modul</t>
        </is>
      </c>
      <c r="F11" s="21" t="n">
        <v>1</v>
      </c>
      <c r="G11" s="23" t="n">
        <v>1250000</v>
      </c>
      <c r="H11" s="12">
        <f>F11*G11</f>
        <v/>
      </c>
    </row>
    <row r="12">
      <c r="B12" s="24" t="n">
        <v>6</v>
      </c>
      <c r="C12" s="13" t="inlineStr">
        <is>
          <t>Antrean Admin &amp; Eksekusi Rekomendasi</t>
        </is>
      </c>
      <c r="D12" s="25" t="inlineStr">
        <is>
          <t>Dashboard verifikasi terintegrasi DSS, modal penerimaan dengan jadwal &amp; catatan, modal tolak dengan alasan</t>
        </is>
      </c>
      <c r="E12" s="24" t="inlineStr">
        <is>
          <t>Modul</t>
        </is>
      </c>
      <c r="F12" s="24" t="n">
        <v>1</v>
      </c>
      <c r="G12" s="26" t="n">
        <v>800000</v>
      </c>
      <c r="H12" s="16">
        <f>F12*G12</f>
        <v/>
      </c>
    </row>
    <row r="13">
      <c r="B13" s="21" t="n">
        <v>7</v>
      </c>
      <c r="C13" s="9" t="inlineStr">
        <is>
          <t>Manajemen Kuota Dinamis &amp; Auto-Lock</t>
        </is>
      </c>
      <c r="D13" s="22" t="inlineStr">
        <is>
          <t>Kapasitas divisi real-time, auto-decrement kuota saat diterima, dan fitur penguncian divisi penuh (Lock/Unlock)</t>
        </is>
      </c>
      <c r="E13" s="21" t="inlineStr">
        <is>
          <t>Modul</t>
        </is>
      </c>
      <c r="F13" s="21" t="n">
        <v>1</v>
      </c>
      <c r="G13" s="23" t="n">
        <v>550000</v>
      </c>
      <c r="H13" s="12">
        <f>F13*G13</f>
        <v/>
      </c>
    </row>
    <row r="14">
      <c r="B14" s="24" t="n">
        <v>8</v>
      </c>
      <c r="C14" s="13" t="inlineStr">
        <is>
          <t>Dasbor Analitik Eksekutif (Pimpinan)</t>
        </is>
      </c>
      <c r="D14" s="25" t="inlineStr">
        <is>
          <t>Portal khusus Pimpinan Redaksi dengan visual grafik tren pelamar bulanan, distribusi kampus, utilisasi divisi</t>
        </is>
      </c>
      <c r="E14" s="24" t="inlineStr">
        <is>
          <t>Modul</t>
        </is>
      </c>
      <c r="F14" s="24" t="n">
        <v>1</v>
      </c>
      <c r="G14" s="26" t="n">
        <v>650000</v>
      </c>
      <c r="H14" s="16">
        <f>F14*G14</f>
        <v/>
      </c>
    </row>
    <row r="15">
      <c r="B15" s="21" t="n">
        <v>9</v>
      </c>
      <c r="C15" s="9" t="inlineStr">
        <is>
          <t>Ekspor Laporan Rekapitulasi Excel (.xlsx)</t>
        </is>
      </c>
      <c r="D15" s="22" t="inlineStr">
        <is>
          <t>Fitur generate dan unduh rekap data pelamar, arsip kelolosan, dan statistik pendaftaran ke spreadsheet Excel</t>
        </is>
      </c>
      <c r="E15" s="21" t="inlineStr">
        <is>
          <t>Modul</t>
        </is>
      </c>
      <c r="F15" s="21" t="n">
        <v>1</v>
      </c>
      <c r="G15" s="23" t="n">
        <v>350000</v>
      </c>
      <c r="H15" s="12">
        <f>F15*G15</f>
        <v/>
      </c>
    </row>
    <row r="16">
      <c r="B16" s="24" t="n">
        <v>10</v>
      </c>
      <c r="C16" s="13" t="inlineStr">
        <is>
          <t>UI/UX Standar Impeccable (Dual Mode)</t>
        </is>
      </c>
      <c r="D16" s="25" t="inlineStr">
        <is>
          <t>Desain korporat Suara Surabaya Blue, Dark Mode kontras tinggi, micro-interactions, responsive mobile/desktop</t>
        </is>
      </c>
      <c r="E16" s="24" t="inlineStr">
        <is>
          <t>Modul</t>
        </is>
      </c>
      <c r="F16" s="24" t="n">
        <v>1</v>
      </c>
      <c r="G16" s="26" t="n">
        <v>500000</v>
      </c>
      <c r="H16" s="16">
        <f>F16*G16</f>
        <v/>
      </c>
    </row>
    <row r="17">
      <c r="B17" s="21" t="n">
        <v>11</v>
      </c>
      <c r="C17" s="9" t="inlineStr">
        <is>
          <t>Deployment Server Internal SS &amp; Indexing</t>
        </is>
      </c>
      <c r="D17" s="22" t="inlineStr">
        <is>
          <t>Instalasi &amp; konfigurasi di server on-premise SS, optimasi indexing PostgreSQL, skrip 1-Click Launcher Windows</t>
        </is>
      </c>
      <c r="E17" s="21" t="inlineStr">
        <is>
          <t>Paket</t>
        </is>
      </c>
      <c r="F17" s="21" t="n">
        <v>1</v>
      </c>
      <c r="G17" s="23" t="n">
        <v>450000</v>
      </c>
      <c r="H17" s="12">
        <f>F17*G17</f>
        <v/>
      </c>
    </row>
    <row r="18">
      <c r="B18" s="24" t="n">
        <v>12</v>
      </c>
      <c r="C18" s="13" t="inlineStr">
        <is>
          <t>Testing Komprehensif &amp; Garansi (60 Hari)</t>
        </is>
      </c>
      <c r="D18" s="25" t="inlineStr">
        <is>
          <t>End-to-end integration test, hardening validasi input, dokumentasi teknis kode, dan garansi pemeliharaan 60 hari</t>
        </is>
      </c>
      <c r="E18" s="24" t="inlineStr">
        <is>
          <t>Paket</t>
        </is>
      </c>
      <c r="F18" s="24" t="n">
        <v>1</v>
      </c>
      <c r="G18" s="26" t="n">
        <v>350000</v>
      </c>
      <c r="H18" s="16">
        <f>F18*G18</f>
        <v/>
      </c>
    </row>
    <row r="19">
      <c r="B19" s="27" t="inlineStr"/>
      <c r="C19" s="28" t="inlineStr">
        <is>
          <t>TOTAL INVESTASI PENGEMBANGAN SOFTWARE</t>
        </is>
      </c>
      <c r="D19" s="27" t="inlineStr"/>
      <c r="E19" s="27" t="inlineStr"/>
      <c r="F19" s="27" t="inlineStr"/>
      <c r="G19" s="27" t="inlineStr"/>
      <c r="H19" s="20">
        <f>SUM(H7:H18)</f>
        <v/>
      </c>
    </row>
    <row r="21">
      <c r="C21" s="29" t="inlineStr">
        <is>
          <t>Catatan Teknis &amp; Ketentuan Layanan:</t>
        </is>
      </c>
    </row>
    <row r="22">
      <c r="C22" s="30" t="inlineStr">
        <is>
          <t>• Biaya di atas merupakan harga pasti (fixed price) untuk seluruh 12 modul fitur tanpa ada pengurangan fitur.</t>
        </is>
      </c>
    </row>
    <row r="23">
      <c r="C23" s="30" t="inlineStr">
        <is>
          <t>• Sistem berjalan di infrastruktur server on-premise milik Suara Surabaya Media (biaya server bulanan = Rp 0).</t>
        </is>
      </c>
    </row>
    <row r="24">
      <c r="C24" s="30" t="inlineStr">
        <is>
          <t>• Termasuk instalasi basis data PostgreSQL lokal, konfigurasi environment, dan skrip 1-Click Launcher Windows.</t>
        </is>
      </c>
    </row>
    <row r="25">
      <c r="C25" s="30" t="inlineStr">
        <is>
          <t>• Garansi pemeliharaan teknis &amp; perbaikan bug gratis selama 60 hari kalender sejak serah terima sistem.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25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25" customWidth="1" min="3" max="3"/>
    <col width="25" customWidth="1" min="4" max="4"/>
    <col width="50" customWidth="1" min="5" max="5"/>
  </cols>
  <sheetData>
    <row r="2">
      <c r="B2" s="1" t="inlineStr">
        <is>
          <t>SUARA SURABAYA MEDIA</t>
        </is>
      </c>
    </row>
    <row r="3">
      <c r="B3" s="2" t="inlineStr">
        <is>
          <t>MODEL BISNIS KEMITRAAN KAMPUS B2B &amp; SIMULASI ROI</t>
        </is>
      </c>
    </row>
    <row r="4">
      <c r="B4" s="3" t="inlineStr">
        <is>
          <t>Proyeksi Arus Pendapatan (Recurring Revenue) &amp; Pengembalian Modal Investasi Software Rp 7.500.000,-</t>
        </is>
      </c>
    </row>
    <row r="6">
      <c r="B6" s="4" t="inlineStr">
        <is>
          <t>A. SKEMA PAKET LANGGANAN KEMITRAAN KAMPUS (B2B SUBSCRIPTION)</t>
        </is>
      </c>
    </row>
    <row r="7">
      <c r="B7" s="8" t="inlineStr">
        <is>
          <t>Paket Kemitraan</t>
        </is>
      </c>
      <c r="C7" s="8" t="inlineStr">
        <is>
          <t>Sasaran Institusi</t>
        </is>
      </c>
      <c r="D7" s="8" t="inlineStr">
        <is>
          <t>Tarif Langganan</t>
        </is>
      </c>
      <c r="E7" s="8" t="inlineStr">
        <is>
          <t>Hak Akses &amp; Fasilitas Utama</t>
        </is>
      </c>
    </row>
    <row r="8">
      <c r="B8" s="9" t="inlineStr">
        <is>
          <t>Silver University Partner</t>
        </is>
      </c>
      <c r="C8" s="10" t="inlineStr">
        <is>
          <t>Fakultas / Program Studi</t>
        </is>
      </c>
      <c r="D8" s="12" t="n">
        <v>3000000</v>
      </c>
      <c r="E8" s="22" t="inlineStr">
        <is>
          <t>Kuota prioritas maks. 5 mahasiswa/th, portal verifikasi digital bagi Dosen Pembimbing Lapangan (DPL), laporan evaluasi berkala</t>
        </is>
      </c>
    </row>
    <row r="9">
      <c r="B9" s="13" t="inlineStr">
        <is>
          <t>Gold Strategic Partner</t>
        </is>
      </c>
      <c r="C9" s="14" t="inlineStr">
        <is>
          <t>Universitas / Mitra Utama</t>
        </is>
      </c>
      <c r="D9" s="16" t="n">
        <v>5000000</v>
      </c>
      <c r="E9" s="25" t="inlineStr">
        <is>
          <t>Seluruh benefit Silver + kuota prioritas 10 mahasiswa/th lintas divisi (Radio On-Air, SS.net, Multimedia), hak talent scouting, logo di beranda</t>
        </is>
      </c>
    </row>
    <row r="12">
      <c r="B12" s="4" t="inlineStr">
        <is>
          <t>B. PROYEKSI KEUANGAN &amp; SIMULASI RETURN ON INVESTMENT (ROI)</t>
        </is>
      </c>
    </row>
    <row r="13">
      <c r="B13" s="8" t="inlineStr">
        <is>
          <t>Komponen Analisis Keuangan</t>
        </is>
      </c>
      <c r="C13" s="8" t="inlineStr">
        <is>
          <t>Tahun 1 (Peluncuran)</t>
        </is>
      </c>
      <c r="D13" s="8" t="inlineStr">
        <is>
          <t>Tahun 2 (Pertumbuhan)</t>
        </is>
      </c>
      <c r="E13" s="8" t="inlineStr">
        <is>
          <t>Keterangan &amp; Asumsi Perhitungan</t>
        </is>
      </c>
    </row>
    <row r="14">
      <c r="B14" s="9" t="inlineStr">
        <is>
          <t>Pendapatan Kemitraan Kampus (Revenue)</t>
        </is>
      </c>
      <c r="C14" s="12" t="n">
        <v>19000000</v>
      </c>
      <c r="D14" s="12" t="n">
        <v>31000000</v>
      </c>
      <c r="E14" s="10" t="inlineStr">
        <is>
          <t>Th 1: 2 Gold + 3 Silver; Th 2: 4 Gold + 4 Silver (Mitra Kampus Jatim)</t>
        </is>
      </c>
    </row>
    <row r="15">
      <c r="B15" s="13" t="inlineStr">
        <is>
          <t>Biaya Investasi Awal Software (CAPEX)</t>
        </is>
      </c>
      <c r="C15" s="16" t="n">
        <v>-7500000</v>
      </c>
      <c r="D15" s="16" t="n">
        <v>0</v>
      </c>
      <c r="E15" s="14" t="inlineStr">
        <is>
          <t>Biaya pengadaan software Full Enterprise (sekali bayar di awal)</t>
        </is>
      </c>
    </row>
    <row r="16">
      <c r="B16" s="9" t="inlineStr">
        <is>
          <t>Biaya Infrastruktur Server SS (OPEX)</t>
        </is>
      </c>
      <c r="C16" s="12" t="n">
        <v>0</v>
      </c>
      <c r="D16" s="12" t="n">
        <v>0</v>
      </c>
      <c r="E16" s="10" t="inlineStr">
        <is>
          <t>Disediakan mandiri oleh server internal on-premise Suara Surabaya (Rp 0)</t>
        </is>
      </c>
    </row>
    <row r="17">
      <c r="B17" s="31" t="inlineStr">
        <is>
          <t>Laba Bersih Operasional (Net Profit)</t>
        </is>
      </c>
      <c r="C17" s="32">
        <f>C14+C15+C16</f>
        <v/>
      </c>
      <c r="D17" s="32">
        <f>D14+D15+D16</f>
        <v/>
      </c>
      <c r="E17" s="33" t="inlineStr">
        <is>
          <t>Keuntungan finansial bersih yang diterima pihak Suara Surabaya Media</t>
        </is>
      </c>
    </row>
    <row r="18">
      <c r="B18" s="9" t="inlineStr">
        <is>
          <t>Waktu Balik Modal (Break-Even Point)</t>
        </is>
      </c>
      <c r="C18" s="34" t="inlineStr">
        <is>
          <t>± 4 – 5 Bulan</t>
        </is>
      </c>
      <c r="D18" s="34" t="inlineStr">
        <is>
          <t>Profitable</t>
        </is>
      </c>
      <c r="E18" s="10" t="inlineStr">
        <is>
          <t>Investasi software lunas tertutup dalam kurun waktu kurang dari 5 bulan</t>
        </is>
      </c>
    </row>
    <row r="21">
      <c r="B21" s="4" t="inlineStr">
        <is>
          <t>C. NILAI TAMBAH STRATEGIS &amp; EFISIENSI OPERASIONAL (NON-FINANCIAL ROI)</t>
        </is>
      </c>
    </row>
    <row r="22">
      <c r="B22" s="35" t="inlineStr">
        <is>
          <t xml:space="preserve">• Efisiensi Beban Kerja Manual (Cost-Saving): </t>
        </is>
      </c>
      <c r="C22" s="36" t="inlineStr">
        <is>
          <t>Mengurangi hingga 70% jam kerja sortir manual CV/proposal (~40 jam kerja per gelombang), setara penghematan biaya operasional internal Rp 6.000.000 s.d. Rp 10.000.000 per tahun.</t>
        </is>
      </c>
    </row>
    <row r="23">
      <c r="B23" s="35" t="inlineStr">
        <is>
          <t xml:space="preserve">• Exclusive Talent Pool Siap Pakai: </t>
        </is>
      </c>
      <c r="C23" s="36" t="inlineStr">
        <is>
          <t>Suara Surabaya memiliki akses langsung ke bank talenta penyiaran, jurnalisme online SS.net, dan multimedia terverifikasi tanpa biaya agensi rekrutmen eksternal.</t>
        </is>
      </c>
    </row>
    <row r="24">
      <c r="B24" s="35" t="inlineStr">
        <is>
          <t xml:space="preserve">• Optimalisasi Aset Server Internal: </t>
        </is>
      </c>
      <c r="C24" s="36" t="inlineStr">
        <is>
          <t>Memaksimalkan utilisasi perangkat server on-premise Suara Surabaya yang sudah ada tanpa menambah pengeluaran langganan server cloud eksternal.</t>
        </is>
      </c>
    </row>
    <row r="25">
      <c r="B25" s="35" t="inlineStr">
        <is>
          <t xml:space="preserve">• Penguatan Brand Media Edukatif: </t>
        </is>
      </c>
      <c r="C25" s="36" t="inlineStr">
        <is>
          <t>Memperkokoh reputasi Suara Surabaya Media sebagai institusi pers modern, transparan, dan terdepan dalam adopsi teknologi informasi di kalangan akademisi.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2026-10-01T06:59:57Z</dcterms:created>
  <dcterms:modified xmlns:dcterms="http://purl.org/dc/terms/" xmlns:xsi="http://www.w3.org/2001/XMLSchema-instance" xsi:type="dcterms:W3CDTF">2026-10-01T06:59:57Z</dcterms:modified>
</cp:coreProperties>
</file>