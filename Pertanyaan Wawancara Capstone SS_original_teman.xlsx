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UINSA\SAD\Aplikasi\"/>
    </mc:Choice>
  </mc:AlternateContent>
  <xr:revisionPtr revIDLastSave="0" documentId="13_ncr:1_{D7B4CE58-7382-4ED2-B767-5E57FA033F33}" xr6:coauthVersionLast="47" xr6:coauthVersionMax="47" xr10:uidLastSave="{00000000-0000-0000-0000-000000000000}"/>
  <bookViews>
    <workbookView xWindow="-108" yWindow="-108" windowWidth="23256" windowHeight="13176" activeTab="4" xr2:uid="{00000000-000D-0000-FFFF-FFFF00000000}"/>
  </bookViews>
  <sheets>
    <sheet name="PER FITUR" sheetId="2" r:id="rId1"/>
    <sheet name="Pertanyaan" sheetId="1" r:id="rId2"/>
    <sheet name="RAB - Biaya Produksi" sheetId="3" r:id="rId3"/>
    <sheet name="Sumber Dana" sheetId="4" r:id="rId4"/>
    <sheet name="Skema Harga ke Klie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1" i="3" l="1"/>
  <c r="I51" i="3" s="1"/>
  <c r="F50" i="3"/>
  <c r="I50" i="3" s="1"/>
  <c r="I52" i="3" s="1"/>
  <c r="I44" i="3"/>
  <c r="F44" i="3"/>
  <c r="I43" i="3"/>
  <c r="F43" i="3"/>
  <c r="I42" i="3"/>
  <c r="F42" i="3"/>
  <c r="I41" i="3"/>
  <c r="I45" i="3" s="1"/>
  <c r="F41" i="3"/>
  <c r="F37" i="3"/>
  <c r="I37" i="3" s="1"/>
  <c r="I36" i="3"/>
  <c r="F36" i="3"/>
  <c r="F35" i="3"/>
  <c r="I35" i="3" s="1"/>
  <c r="I34" i="3"/>
  <c r="F34" i="3"/>
  <c r="F33" i="3"/>
  <c r="I33" i="3" s="1"/>
  <c r="I32" i="3"/>
  <c r="F32" i="3"/>
  <c r="F31" i="3"/>
  <c r="I31" i="3" s="1"/>
  <c r="I30" i="3"/>
  <c r="F30" i="3"/>
  <c r="F29" i="3"/>
  <c r="I29" i="3" s="1"/>
  <c r="I28" i="3"/>
  <c r="F28" i="3"/>
  <c r="F27" i="3"/>
  <c r="I27" i="3" s="1"/>
  <c r="I26" i="3"/>
  <c r="F26" i="3"/>
  <c r="F25" i="3"/>
  <c r="I25" i="3" s="1"/>
  <c r="I24" i="3"/>
  <c r="F24" i="3"/>
  <c r="F23" i="3"/>
  <c r="I23" i="3" s="1"/>
  <c r="I22" i="3"/>
  <c r="F22" i="3"/>
  <c r="F21" i="3"/>
  <c r="I21" i="3" s="1"/>
  <c r="I20" i="3"/>
  <c r="F20" i="3"/>
  <c r="F19" i="3"/>
  <c r="I19" i="3" s="1"/>
  <c r="I18" i="3"/>
  <c r="F18" i="3"/>
  <c r="F17" i="3"/>
  <c r="I17" i="3" s="1"/>
  <c r="I16" i="3"/>
  <c r="F16" i="3"/>
  <c r="F15" i="3"/>
  <c r="I15" i="3" s="1"/>
  <c r="I14" i="3"/>
  <c r="F14" i="3"/>
  <c r="I9" i="3"/>
  <c r="F9" i="3"/>
  <c r="I8" i="3"/>
  <c r="F8" i="3"/>
  <c r="I7" i="3"/>
  <c r="I10" i="3" s="1"/>
  <c r="F7" i="3"/>
  <c r="G28" i="2"/>
  <c r="E28" i="2"/>
  <c r="G27" i="2"/>
  <c r="G29" i="2" s="1"/>
  <c r="E27" i="2"/>
  <c r="E24" i="2"/>
  <c r="G24" i="2" s="1"/>
  <c r="G23" i="2"/>
  <c r="E23" i="2"/>
  <c r="E22" i="2"/>
  <c r="G22" i="2" s="1"/>
  <c r="G19" i="2"/>
  <c r="E19" i="2"/>
  <c r="G18" i="2"/>
  <c r="E18" i="2"/>
  <c r="G17" i="2"/>
  <c r="E17" i="2"/>
  <c r="G16" i="2"/>
  <c r="E16" i="2"/>
  <c r="G15" i="2"/>
  <c r="E15" i="2"/>
  <c r="G14" i="2"/>
  <c r="E14" i="2"/>
  <c r="G13" i="2"/>
  <c r="E13" i="2"/>
  <c r="G12" i="2"/>
  <c r="E12" i="2"/>
  <c r="G11" i="2"/>
  <c r="E11" i="2"/>
  <c r="G10" i="2"/>
  <c r="E10" i="2"/>
  <c r="G9" i="2"/>
  <c r="E9" i="2"/>
  <c r="G8" i="2"/>
  <c r="E8" i="2"/>
  <c r="E7" i="2"/>
  <c r="G7" i="2" s="1"/>
  <c r="G20" i="2" s="1"/>
  <c r="B7" i="5" l="1"/>
  <c r="G25" i="2"/>
  <c r="G31" i="2" s="1"/>
  <c r="I38" i="3"/>
  <c r="B6" i="5" s="1"/>
  <c r="G32" i="2" l="1"/>
  <c r="G33" i="2" s="1"/>
  <c r="D15" i="5"/>
  <c r="I54" i="3"/>
  <c r="I55" i="3" l="1"/>
  <c r="I56" i="3" s="1"/>
  <c r="E7" i="4" l="1"/>
  <c r="B5" i="5"/>
  <c r="E6" i="4"/>
  <c r="D5" i="4"/>
  <c r="D8" i="4" l="1"/>
  <c r="E8" i="4" s="1"/>
  <c r="E5" i="4"/>
  <c r="D16" i="5"/>
  <c r="D14" i="5"/>
</calcChain>
</file>

<file path=xl/sharedStrings.xml><?xml version="1.0" encoding="utf-8"?>
<sst xmlns="http://schemas.openxmlformats.org/spreadsheetml/2006/main" count="305" uniqueCount="235">
  <si>
    <t>SUMBER DANA</t>
  </si>
  <si>
    <t>Rencana Pendanaan (SIMA KOS)</t>
  </si>
  <si>
    <t>No</t>
  </si>
  <si>
    <t>Sumber Dana</t>
  </si>
  <si>
    <t>Keterangan</t>
  </si>
  <si>
    <t>Jumlah (Rp)</t>
  </si>
  <si>
    <r>
      <rPr>
        <b/>
        <sz val="12"/>
        <color theme="1"/>
        <rFont val="Times New Roman"/>
      </rPr>
      <t>Narasumber:</t>
    </r>
    <r>
      <rPr>
        <sz val="12"/>
        <color theme="1"/>
        <rFont val="Times New Roman"/>
      </rPr>
      <t xml:space="preserve"> HRD Suara Surabaya</t>
    </r>
  </si>
  <si>
    <t>% dari Total</t>
  </si>
  <si>
    <t>Laporan akhir: SAD yg diimprovekan</t>
  </si>
  <si>
    <t>RENCANA ANGGARAN BIAYA (RAB)</t>
  </si>
  <si>
    <t>Dana Pribadi / Patungan Anggota Tim</t>
  </si>
  <si>
    <r>
      <rPr>
        <b/>
        <sz val="12"/>
        <color theme="1"/>
        <rFont val="Times New Roman"/>
      </rPr>
      <t xml:space="preserve">Konteks: </t>
    </r>
    <r>
      <rPr>
        <sz val="12"/>
        <color theme="1"/>
        <rFont val="Times New Roman"/>
      </rPr>
      <t>Aplikasi sudah dibuat dan sudah dicoba oleh narasumber. Wawancara bertujuan mengevaluasi kesesuaian, kekurangan, dan kesiapan aplikasi.</t>
    </r>
  </si>
  <si>
    <t>Iuran internal tim pengembang</t>
  </si>
  <si>
    <t>Kriteria</t>
  </si>
  <si>
    <t>Website Manajemen Kos (SIMA KOS)</t>
  </si>
  <si>
    <t>Pertanyaan</t>
  </si>
  <si>
    <t>Sheetnya yang rinci</t>
  </si>
  <si>
    <t>Target Jawaban</t>
  </si>
  <si>
    <t>tambahin indikator, referensi, target</t>
  </si>
  <si>
    <t>Kesesuaian alur proses bisnis</t>
  </si>
  <si>
    <t>Biaya:</t>
  </si>
  <si>
    <t>Tujuan proyek bisa diperkuat dengan daftar wawancara di sheet tadi</t>
  </si>
  <si>
    <t>Dana Hibah / Kompetisi Kewirausahaan</t>
  </si>
  <si>
    <t>A. INFRASTRUKTUR APLIKASI</t>
  </si>
  <si>
    <t>Investor / Pinjaman Pihak Ketiga</t>
  </si>
  <si>
    <t>Apakah alur penggunaannya sudah sesuai dengan proses pengelolaan kos yang dilakukan saat ini?</t>
  </si>
  <si>
    <t>Uraian</t>
  </si>
  <si>
    <t>Sudah sesuai. Alurnya mirip dengan yang saya lakukan selama ini, calon penghuni mengajukan booking, saya cek, lalu kamar dikonfirmasi dan penghuni mulai menempati.</t>
  </si>
  <si>
    <t>RAB DAN NOMINAL</t>
  </si>
  <si>
    <t>TOTAL SUMBER DANA</t>
  </si>
  <si>
    <t>Volume</t>
  </si>
  <si>
    <t>Apakah alur booking (calon penghuni memesan, pemilik mengonfirmasi, status kamar berubah) sudah sama dengan cara Bapak/Ibu menerima penghuni selama ini?</t>
  </si>
  <si>
    <t xml:space="preserve">Sudah sama. Calon penghuni memilih kamar dan mengisi formulir, saya mengonfirmasi, lalu status kamar otomatis berubah dari kosong menjadi dipesan. </t>
  </si>
  <si>
    <t>1. pengembangan</t>
  </si>
  <si>
    <t>apakah bapak pernah menggunakan aplikasi serupa sebelumnya?</t>
  </si>
  <si>
    <t>(orang &amp; AI)</t>
  </si>
  <si>
    <t>Fungsi booking dan manajemen kamar</t>
  </si>
  <si>
    <t>Harga</t>
  </si>
  <si>
    <t>Apakah data yang diminta dari calon penghuni pada formulir booking sudah lengkap dan sesuai dengan data yang selama ini Bapak/Ibu butuhkan?</t>
  </si>
  <si>
    <t xml:space="preserve">Sudah cukup lengkap. Nama, nomor HP, dan foto KTP sudah ada. </t>
  </si>
  <si>
    <t>Apakah status kamar (kosong, dipesan, terisi) yang ditampilkan di aplikasi sudah akurat dan membantu Bapak/Ibu mengetahui ketersediaan kamar?</t>
  </si>
  <si>
    <t xml:space="preserve">Sudah akurat dan sangat membantu. </t>
  </si>
  <si>
    <t>dalam pengembangan yang dibayar itu fungsi</t>
  </si>
  <si>
    <t>Jumlah</t>
  </si>
  <si>
    <t>Apakah aplikasi sudah dapat mencegah atau menangani masalah booking ganda pada kamar yang sama dengan baik?</t>
  </si>
  <si>
    <t>Sudah aman. Saat kamar sudah dipesan satu orang, calon penghuni lain tidak bisa memilih kamar itu, jadi tidak ada lagi kejadian dua orang memesan kamar yang sama.</t>
  </si>
  <si>
    <t>seharusnya satu pertanyaan satu jawaban</t>
  </si>
  <si>
    <t>Durasi</t>
  </si>
  <si>
    <t>Total</t>
  </si>
  <si>
    <t>Apakah pengaturan DP/uang jaminan, batas waktu penahanan kamar, dan pembatalan booking di aplikasi sudah sesuai dengan aturan di kos Bapak/Ibu?</t>
  </si>
  <si>
    <t>Satuan</t>
  </si>
  <si>
    <t>Sudah sesuai. DP dan batas penahanan kamar sudah cocok, yaitu 3 hari. Kalau tidak jadi masuk, DP tidak dikembalikan, dan itu perlu dimasukkan.</t>
  </si>
  <si>
    <t>misal, apakah ibu menggunakan mamikos?</t>
  </si>
  <si>
    <t>Fungsi pembayaran dan tagihan</t>
  </si>
  <si>
    <t>A. Pengembangan Fitur (Volume dalam Orang-Hari)</t>
  </si>
  <si>
    <t>Apakah proses pencatatan pembayaran di aplikasi sudah sesuai dengan kebiasaan Bapak/Ibu (metode bayar, tanggal jatuh tempo, bukti pembayaran)?</t>
  </si>
  <si>
    <t>Sudah sesuai. Pembayaran dicatat per bulan dengan tanggal jatuh tempo, metode transfer atau tunai, dan bukti bayarnya bisa diunggah. Lebih rapi daripada buku catatan saya.</t>
  </si>
  <si>
    <t>2. operasional</t>
  </si>
  <si>
    <t>bagaimana selama ini penghuni kos mendapatkan informasi keberadaan kos ibu, hingga akhirnya booking kos ibu?</t>
  </si>
  <si>
    <t>Apakah fitur bukti pembayaran dan riwayat transaksi di aplikasi sudah cukup membantu Bapak/Ibu dalam mencatat dan menelusuri pembayaran setiap penghuni?</t>
  </si>
  <si>
    <t>Sudah membantu. Setiap pembayaran tercatat lengkap dengan tanggal, nominal, dan bukti transfernya, jadi kalau ada penghuni yang bertanya soal pembayarannya, saya bisa langsung cek riwayatnya tanpa membuka buku catatan.</t>
  </si>
  <si>
    <t>3. materi/bahan: Server (cloud mana saja paketnya apa saja harus ada plan A,B,C,D diatur paket apa aja yang sesuai, database, API</t>
  </si>
  <si>
    <t>Apakah informasi tunggakan atau tagihan yang jatuh tempo di aplikasi sudah jelas dan memudahkan Bapak/Ibu dalam menagih penghuni?</t>
  </si>
  <si>
    <t>Cukup jelas. Penghuni yang menunggak langsung kelihatan di daftar tagihan. Fitur pengingat otomatis lewat WhatsApp juga sudah cukup bagus sehingga tidak perlu menagih satu per satu.</t>
  </si>
  <si>
    <t xml:space="preserve">CARI DEVELOPER BESERTA GAJIANYA </t>
  </si>
  <si>
    <t>Kualitas data, informasi, dan laporan</t>
  </si>
  <si>
    <t>Hosting &amp; Domain (1 tahun)</t>
  </si>
  <si>
    <t>Desain UI/UX Aplikasi (seluruh halaman)</t>
  </si>
  <si>
    <t>Apakah data penghuni dan riwayat sewa yang tersimpan di aplikasi sudah cukup untuk kebutuhan pengelolaan kos?</t>
  </si>
  <si>
    <t xml:space="preserve">Sudah cukup. Data penghuni, tanggal masuk, dan riwayat pembayaran sudah tersimpan. </t>
  </si>
  <si>
    <t>TARGETNYA APA</t>
  </si>
  <si>
    <t>Apakah informasi yang ditampilkan di aplikasi (dashboard, daftar kamar, daftar penghuni) sudah sesuai dengan kebutuhan Bapak/Ibu?</t>
  </si>
  <si>
    <t>Sudah sesuai. Dashboard menampilkan jumlah kamar terisi, kosong, dan pemasukan bulan ini, yaitu hal yang paling sering saya cek. Daftar kamar dan penghuni juga mudah dibaca.</t>
  </si>
  <si>
    <t>Apakah laporan yang dihasilkan (pemasukan, tingkat hunian, tunggakan) sudah cukup membantu Bapak/Ibu dalam memantau kondisi dan mengambil keputusan?</t>
  </si>
  <si>
    <t>Cukup membantu. Laporan pemasukan bulanan dan tingkat hunian sudah cukup untuk melihat kondisi kos.</t>
  </si>
  <si>
    <t>Apakah ada data atau laporan lain yang menurut Bapak/Ibu masih perlu ditampilkan?</t>
  </si>
  <si>
    <t>Ada. Saya butuh rekap daftar penghuni yang akan habis masa sewanya, supaya bisa mencari penghuni baru lebih awal.</t>
  </si>
  <si>
    <t>Kelengkapan fitur</t>
  </si>
  <si>
    <t>Apakah ada proses pengelolaan kos yang masih dilakukan secara manual dan belum terakomodasi dalam aplikasi (misalnya perpanjangan sewa, pindah kamar, check-out, pengembalian deposit)?</t>
  </si>
  <si>
    <t>Masih ada. Perpanjangan sewa, pindah kamar, dan pengembalian uang jaminan saat check-out masih saya catat manual di buku.</t>
  </si>
  <si>
    <t>Apakah ada fitur yang menurut Bapak/Ibu masih kurang atau perlu ditambahkan?</t>
  </si>
  <si>
    <t>Fitur pengaduan atau perbaikan fasilitas dari penghuni.</t>
  </si>
  <si>
    <t>Apakah ada fitur yang sebenarnya tidak diperlukan atau jarang digunakan?</t>
  </si>
  <si>
    <t xml:space="preserve">Tidak ada. </t>
  </si>
  <si>
    <t>Kemudahan penggunaan dan performa</t>
  </si>
  <si>
    <t>Apakah terdapat bagian aplikasi yang sulit dipahami atau digunakan (menu, istilah, tombol, tampilan)?</t>
  </si>
  <si>
    <t xml:space="preserve">Secara umum mudah dipahami. </t>
  </si>
  <si>
    <t>Bagaimana penilaian Bapak/Ibu terhadap kecepatan dan kemudahan aplikasi saat digunakan, baik dari komputer maupun HP?</t>
  </si>
  <si>
    <t>Cepat dan nyaman, terutama dari HP, karena saya lebih sering membuka lewat HP. Kadang loading halaman laporan agak lama, tapi masih bisa diterima.</t>
  </si>
  <si>
    <t>Keamanan dan hak akses</t>
  </si>
  <si>
    <t>Apakah pembagian hak akses pengguna (pemilik, admin, penghuni) sudah sesuai dengan peran masing-masing di kos?</t>
  </si>
  <si>
    <t>Sudah sesuai. Saya sebagai pemilik bisa melihat semua data termasuk keuangan,  penghuni hanya melihat data serta tagihannya sendiri.</t>
  </si>
  <si>
    <t>Apakah Bapak/Ibu merasa data penghuni dan data keuangan di aplikasi sudah cukup aman dan terjaga kerahasiaannya?</t>
  </si>
  <si>
    <t>Cukup aman karena harus login dan tiap peran punya batas akses. Tapi saya ingin data dicadangkan secara berkala supaya tidak hilang kalau ada masalah.</t>
  </si>
  <si>
    <t>Manfaat dan kesiapan implementasi</t>
  </si>
  <si>
    <t>Supabase Pro Plan (1 tahun, estimasi)</t>
  </si>
  <si>
    <t>Autentikasi &amp; Verifikasi User (Register, Login, Verifikasi Admin)</t>
  </si>
  <si>
    <t>Apa manfaat terbesar yang Bapak/Ibu rasakan dari aplikasi ini, dan apakah ada kekurangannya?</t>
  </si>
  <si>
    <t>Manfaat terbesar: hemat waktu, data lebih rapi, dan tidak ada tagihan yang terlewat. Dulu mencari data penghuni lama bisa memakan waktu lama, sekarang cukup beberapa detik. Kekurangannya hanya perlu waktu belajar di awal.</t>
  </si>
  <si>
    <t>Apa yang menurut Bapak/Ibu perlu diperbaiki terlebih dahulu?</t>
  </si>
  <si>
    <t>Sudah cukup baik, yang perlu diperbaiki lebih dulu hanya tampilan di HP agar lebih rapi. Selain itu saya rasa aplikasi sudah siap dipakai sehari-hari.</t>
  </si>
  <si>
    <t>Apakah Bapak/Ibu atau pengelola lain membutuhkan pelatihan atau panduan penggunaan agar dapat memakai aplikasi ini dengan lancar?</t>
  </si>
  <si>
    <t>Perlu, tapi tidak lama. Admin kos perlu dilatih sekali dan sebaiknya diberi buku panduan singkat atau video, supaya bisa dipelajari ulang kalau lupa.</t>
  </si>
  <si>
    <t>Melihat &amp; Memilih Kamar (listing &amp; detail kamar)</t>
  </si>
  <si>
    <t>WhatsApp API pihak ketiga, mis. Fonnte (1 tahun, estimasi)</t>
  </si>
  <si>
    <t>Apakah ada kebutuhan atau perubahan lain yang Bapak/Ibu harapkan sebelum aplikasi digunakan secara penuh?</t>
  </si>
  <si>
    <t>Data penghuni yang sekarang perlu dimasukkan dulu ke aplikasi, dan saya ingin ada masa percobaan satu atau dua bulan sebelum benar-benar menggantikan buku catatan.</t>
  </si>
  <si>
    <t>Apakah aplikasi ini sudah sesuai dengan kebutuhan pengelolaan kos dan bersedia digunakan setelah tahap pengembangan selesai?</t>
  </si>
  <si>
    <t>Integrasi Chat WhatsApp Langsung dari Web</t>
  </si>
  <si>
    <t>Aplikasi ini sudah cukup sesuai dengan kebutuhan pengelolaan kos saya, dan saya bersedia menggunakannya setelah perbaikan selesai, terutama penambahan fitur pengingat tagihan dan check-out.</t>
  </si>
  <si>
    <t>biaya library: phyton dll</t>
  </si>
  <si>
    <t>Subtotal A. Infrastruktur Aplikasi</t>
  </si>
  <si>
    <t>Booking Kamar (termasuk validasi ketersediaan)</t>
  </si>
  <si>
    <t>Pembatalan Booking</t>
  </si>
  <si>
    <t>Infrastruktur harus ada referensinya, apakah Alibaba atau Azure dll</t>
  </si>
  <si>
    <t>1 pertanyaan 1 jawaban</t>
  </si>
  <si>
    <t>B. BIAYA PENGEMBANGAN PER FITUR &amp; FUNGSI DASAR (Versi 1.0)</t>
  </si>
  <si>
    <t>Pengajuan Perpanjangan Booking</t>
  </si>
  <si>
    <t>misal: Apakah pernah pakai sosial media? sosmed apa aja yang pernah dipakai? sosmed yg paling disukai? banyak pertanyaan tapi tujuannya sama.</t>
  </si>
  <si>
    <t>Riwayat Booking &amp; Riwayat Pembayaran (Profil User)</t>
  </si>
  <si>
    <t>Fitur</t>
  </si>
  <si>
    <t>Fungsi Dasar</t>
  </si>
  <si>
    <t>Jml
Dev</t>
  </si>
  <si>
    <t>Durasi
(Hari)</t>
  </si>
  <si>
    <t>Total
OH</t>
  </si>
  <si>
    <t>Faktor
Kesulitan</t>
  </si>
  <si>
    <t>Harga
Dasar/OH</t>
  </si>
  <si>
    <t>Biaya
Fungsi</t>
  </si>
  <si>
    <t>Versi</t>
  </si>
  <si>
    <t xml:space="preserve">pitching : fiturnya apa tujuannya apa </t>
  </si>
  <si>
    <t>Verifikasi Pembayaran (Admin)</t>
  </si>
  <si>
    <t>Desain UI/UX Aplikasi</t>
  </si>
  <si>
    <t>Wireframe &amp; Mockup</t>
  </si>
  <si>
    <t>Kelola Data Kos &amp; Kamar (Admin)</t>
  </si>
  <si>
    <t>Kelola Pengajuan User - Pembatalan/Perpanjangan (Admin)</t>
  </si>
  <si>
    <t>V1.0</t>
  </si>
  <si>
    <t>Desain UI Final &amp; Asset Grafis</t>
  </si>
  <si>
    <t>Dashboard &amp; Laporan Histori Transaksi (Admin)</t>
  </si>
  <si>
    <t>SKEMA HARGA JUAL KE KLIEN (PEMILIK KOS)</t>
  </si>
  <si>
    <t>metode tidak dibayar</t>
  </si>
  <si>
    <t>Autentikasi &amp; Verifikasi User</t>
  </si>
  <si>
    <t>Register &amp; Login</t>
  </si>
  <si>
    <t>Testing &amp; QA Keseluruhan Sistem</t>
  </si>
  <si>
    <t>yang dibayar adalah fungsi misalnya auth</t>
  </si>
  <si>
    <t>Verifikasi Akun oleh Admin</t>
  </si>
  <si>
    <t>BUAT YANG UMUM HABIS ITU YANG KERJ NGIKUTI YANG UMUM ITU TADI harganya mengikuti tingkat kesulitan</t>
  </si>
  <si>
    <t>Dihitung dari Total Anggaran (Biaya Produksi) di sheet 'RAB - Biaya Produksi'</t>
  </si>
  <si>
    <t>Subtotal A. Pengembangan Fitur</t>
  </si>
  <si>
    <t>Melihat &amp; Memilih Kamar</t>
  </si>
  <si>
    <t>Listing Kamar Tersedia</t>
  </si>
  <si>
    <t>referensi cloudnya harus ada</t>
  </si>
  <si>
    <t>Detail Kamar (foto, harga, fasilitas)</t>
  </si>
  <si>
    <t>Pertanyaan wawancara diambil dari fitur2 yang ditawarkan</t>
  </si>
  <si>
    <t>Referensi: Biaya Produksi Total</t>
  </si>
  <si>
    <t>Integrasi Chat WhatsApp Langsung</t>
  </si>
  <si>
    <t>Tombol Klik-to-Chat dari Web</t>
  </si>
  <si>
    <t>Total Biaya Produksi (A+B+C+Tak Terduga)</t>
  </si>
  <si>
    <t xml:space="preserve">ringkasan : isi </t>
  </si>
  <si>
    <t>Booking Kamar</t>
  </si>
  <si>
    <t>Form &amp; Validasi Ketersediaan</t>
  </si>
  <si>
    <t xml:space="preserve">VERSI PERTAMA FITURNYA YANG GAMPANG BARU DIKASIH FITUR YANG LEBIH KOMPLEKS DI VERSI 2 NYA </t>
  </si>
  <si>
    <t>B. Infrastruktur &amp; Lisensi (Volume dalam Paket/Tahun)</t>
  </si>
  <si>
    <t>Biaya Pengembangan saja (Bagian B, V1.0)</t>
  </si>
  <si>
    <t>Biaya Infrastruktur per Tahun (Bagian A)</t>
  </si>
  <si>
    <t>Konfirmasi &amp; Notifikasi Booking</t>
  </si>
  <si>
    <t>Model Harga</t>
  </si>
  <si>
    <t>pengembangan</t>
  </si>
  <si>
    <t>Deskripsi untuk Klien</t>
  </si>
  <si>
    <t>Cara Hitung</t>
  </si>
  <si>
    <t>Form Pengajuan Pembatalan</t>
  </si>
  <si>
    <t>Estimasi Harga</t>
  </si>
  <si>
    <t>biaya</t>
  </si>
  <si>
    <t>Margin Sekali Bayar</t>
  </si>
  <si>
    <t>Validasi Syarat Pembatalan</t>
  </si>
  <si>
    <t>(asumsi margin keuntungan, bisa diubah)</t>
  </si>
  <si>
    <t>Form Pengajuan Perpanjangan</t>
  </si>
  <si>
    <t>Margin Serah Terima</t>
  </si>
  <si>
    <t>(lebih tinggi karena melepas source code &amp; hak kelola penuh)</t>
  </si>
  <si>
    <t>Margin Maintenance Bulanan</t>
  </si>
  <si>
    <t>Validasi Syarat (H-7 s.d H-30, lunas tagihan)</t>
  </si>
  <si>
    <t>(markup di atas biaya infrastruktur bulanan, untuk skema langganan)</t>
  </si>
  <si>
    <t>Riwayat Booking &amp; Pembayaran (Profil User)</t>
  </si>
  <si>
    <t>Riwayat Booking</t>
  </si>
  <si>
    <t>Sekali Bayar
(One-time Purchase)</t>
  </si>
  <si>
    <t>WhatsApp API pihak ketiga, Fonnte (1 tahun, estimasi)</t>
  </si>
  <si>
    <t>Klien bayar satu kali untuk hak pakai sistem di 1 properti kos. Support &amp; maintenance terbatas (mis. 3 bulan gratis, selanjutnya opsional).</t>
  </si>
  <si>
    <t>Total Biaya Produksi x (1 + Margin Sekali Bayar)</t>
  </si>
  <si>
    <t>Riwayat Pembayaran</t>
  </si>
  <si>
    <t>1jt per fitur dibagi lagi per fungsi (di rincikan lagi: auth -&gt; database dll boleh dikarang di bagian fungsi)</t>
  </si>
  <si>
    <t>Upload &amp; Cek Bukti Bayar</t>
  </si>
  <si>
    <t>Subtotal B. Infrastruktur &amp; Lisensi</t>
  </si>
  <si>
    <t>Berlangganan
(Subscription)</t>
  </si>
  <si>
    <t>Klien bayar biaya setup awal lebih ringan, lalu biaya langganan bulanan yang sudah mencakup hosting, database, API WA, dan maintenance.</t>
  </si>
  <si>
    <t>Setup: 50% Biaya Pengembangan.
Bulanan: (Biaya Infra Tahunan ÷ 12) x (1 + Margin Maintenance)</t>
  </si>
  <si>
    <t>Approve / Reject Pembayaran</t>
  </si>
  <si>
    <t>disesuaikan dengan perusahaan tempat aplikasi akan dipasarkan</t>
  </si>
  <si>
    <t>C. Biaya Operasional Lain</t>
  </si>
  <si>
    <t>CRUD Data Kos</t>
  </si>
  <si>
    <t>CRUD Data Kamar</t>
  </si>
  <si>
    <t>Pemasaran &amp; Promosi (konten medsos)</t>
  </si>
  <si>
    <t>Kelola Pengajuan User (Admin)</t>
  </si>
  <si>
    <t>Approve / Reject Pembatalan</t>
  </si>
  <si>
    <t xml:space="preserve"> </t>
  </si>
  <si>
    <t>Serah Terima
(Full Handover)</t>
  </si>
  <si>
    <t>Source code &amp; hak kelola penuh diserahkan ke klien (termasuk training/transfer knowledge). Klien mengurus infrastruktur &amp; maintenance sendiri setelahnya.</t>
  </si>
  <si>
    <t>Total Biaya Produksi x (1 + Margin Serah Terima)</t>
  </si>
  <si>
    <t>Approve / Reject Perpanjangan</t>
  </si>
  <si>
    <t>Dashboard &amp; Laporan (Admin)</t>
  </si>
  <si>
    <t>Dashboard Ringkasan</t>
  </si>
  <si>
    <t>Dokumentasi &amp; Pelatihan Penggunaan untuk Klien</t>
  </si>
  <si>
    <t>indikator, referensi, pertanyaan, target</t>
  </si>
  <si>
    <t>Laporan Histori Transaksi</t>
  </si>
  <si>
    <t>Subtotal C. Biaya Operasional Lain</t>
  </si>
  <si>
    <t>Testing Fungsional Seluruh Sistem</t>
  </si>
  <si>
    <t>RAB, NOMINAL YG DITARGETKAN</t>
  </si>
  <si>
    <t>Subtotal B. Biaya Pengembangan (Versi 1.0 masuk Total Anggaran)</t>
  </si>
  <si>
    <t>FITUR YANG SULIT2 DI TAMPILKAN DI VERSI SELANJUTNYA, VERSI AWAL YANG MUDAH2</t>
  </si>
  <si>
    <t>Jumlah Subtotal (A+B+C)</t>
  </si>
  <si>
    <t>Roadmap Pengembangan Lanjutan Versi 2.0 (Tidak masuk Total Anggaran saat ini)</t>
  </si>
  <si>
    <t>Sistem Rekomendasi Kamar Otomatis (AHP+SAW)</t>
  </si>
  <si>
    <t>Implementasi Model AHP (pembobotan kriteria)</t>
  </si>
  <si>
    <t>Biaya Tak Terduga (10%)</t>
  </si>
  <si>
    <t>V2.0</t>
  </si>
  <si>
    <t>Implementasi Model SAW (skor &amp; ranking kamar)</t>
  </si>
  <si>
    <t>Manajemen Multi-Kos untuk Pemilik</t>
  </si>
  <si>
    <t>Dashboard Multi-Properti</t>
  </si>
  <si>
    <t>Laporan Keuangan Otomatis &amp; Export</t>
  </si>
  <si>
    <t>Export Laporan ke Excel/PDF</t>
  </si>
  <si>
    <t>TOTAL ANGGARAN</t>
  </si>
  <si>
    <t>Subtotal Roadmap V2.0 (TIDAK masuk Total Anggaran)</t>
  </si>
  <si>
    <t>C. BIAYA OPERASIONAL</t>
  </si>
  <si>
    <t>Pemasaran &amp; Promosi (konten medsos, demo ke klien)</t>
  </si>
  <si>
    <t>Subtotal C. Biaya Operasional</t>
  </si>
  <si>
    <t>Jumlah Subtotal (A + B [V1.0] + C)</t>
  </si>
  <si>
    <t>TOTAL ANGGARAN (BIAYA PRODUKSI 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</si>
</sst>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p&quot;\ #,##0;\(&quot;Rp&quot;\ #,##0\)"/>
    <numFmt numFmtId="165" formatCode="0.0%"/>
    <numFmt numFmtId="166" formatCode="&quot;Rp &quot;#,##0;&quot;(Rp &quot;#,##0\)"/>
    <numFmt numFmtId="167" formatCode="0.0"/>
  </numFmts>
  <fonts count="12" x14ac:knownFonts="1">
    <font>
      <sz val="10"/>
      <color rgb="FF000000"/>
      <name val="Arial"/>
      <scheme val="minor"/>
    </font>
    <font>
      <b/>
      <sz val="14"/>
      <color theme="1"/>
      <name val="Arial"/>
    </font>
    <font>
      <b/>
      <i/>
      <sz val="11"/>
      <color theme="1"/>
      <name val="Arial"/>
    </font>
    <font>
      <b/>
      <sz val="12"/>
      <color rgb="FF000000"/>
      <name val="Times New Roman"/>
    </font>
    <font>
      <sz val="10"/>
      <color theme="1"/>
      <name val="Arial"/>
      <scheme val="minor"/>
    </font>
    <font>
      <sz val="12"/>
      <color theme="1"/>
      <name val="Times New Roman"/>
    </font>
    <font>
      <sz val="12"/>
      <color rgb="FF000000"/>
      <name val="Times New Roman"/>
    </font>
    <font>
      <b/>
      <sz val="12"/>
      <color theme="1"/>
      <name val="Times New Roman"/>
    </font>
    <font>
      <b/>
      <i/>
      <sz val="12"/>
      <color rgb="FF000000"/>
      <name val="Times New Roman"/>
    </font>
    <font>
      <b/>
      <i/>
      <sz val="12"/>
      <color theme="1"/>
      <name val="Times New Roman"/>
    </font>
    <font>
      <sz val="10"/>
      <name val="Arial"/>
    </font>
    <font>
      <i/>
      <sz val="12"/>
      <color rgb="FF000000"/>
      <name val="Times New Roman"/>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18">
    <border>
      <left/>
      <right/>
      <top/>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000000"/>
      </left>
      <right style="thin">
        <color rgb="FF000000"/>
      </right>
      <top/>
      <bottom style="thin">
        <color rgb="FF000000"/>
      </bottom>
      <diagonal/>
    </border>
    <border>
      <left/>
      <right style="thin">
        <color rgb="FF999999"/>
      </right>
      <top style="thin">
        <color rgb="FF999999"/>
      </top>
      <bottom style="thin">
        <color rgb="FF99999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style="thin">
        <color rgb="FF999999"/>
      </right>
      <top style="thin">
        <color rgb="FF999999"/>
      </top>
      <bottom/>
      <diagonal/>
    </border>
    <border>
      <left style="thin">
        <color rgb="FF000000"/>
      </left>
      <right style="thin">
        <color rgb="FF000000"/>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style="thin">
        <color rgb="FF999999"/>
      </right>
      <top/>
      <bottom style="thin">
        <color rgb="FF999999"/>
      </bottom>
      <diagonal/>
    </border>
    <border>
      <left style="thin">
        <color rgb="FF999999"/>
      </left>
      <right/>
      <top/>
      <bottom style="thin">
        <color rgb="FF999999"/>
      </bottom>
      <diagonal/>
    </border>
    <border>
      <left/>
      <right style="thin">
        <color rgb="FF999999"/>
      </right>
      <top/>
      <bottom style="thin">
        <color rgb="FF999999"/>
      </bottom>
      <diagonal/>
    </border>
  </borders>
  <cellStyleXfs count="1">
    <xf numFmtId="0" fontId="0" fillId="0" borderId="0"/>
  </cellStyleXfs>
  <cellXfs count="87">
    <xf numFmtId="0" fontId="0" fillId="0" borderId="0" xfId="0" applyFont="1" applyAlignment="1"/>
    <xf numFmtId="0" fontId="3" fillId="2" borderId="1" xfId="0" applyFont="1" applyFill="1" applyBorder="1" applyAlignment="1">
      <alignment horizontal="center" vertical="center" wrapText="1"/>
    </xf>
    <xf numFmtId="0" fontId="4" fillId="0" borderId="0" xfId="0" applyFont="1" applyAlignment="1"/>
    <xf numFmtId="0" fontId="5" fillId="0" borderId="0" xfId="0" applyFont="1" applyAlignment="1"/>
    <xf numFmtId="0" fontId="6" fillId="2" borderId="1" xfId="0" applyFont="1" applyFill="1" applyBorder="1" applyAlignment="1">
      <alignment horizontal="center"/>
    </xf>
    <xf numFmtId="0" fontId="6" fillId="2" borderId="1" xfId="0" applyFont="1" applyFill="1" applyBorder="1"/>
    <xf numFmtId="0" fontId="6" fillId="2" borderId="1" xfId="0" applyFont="1" applyFill="1" applyBorder="1" applyAlignment="1">
      <alignment wrapText="1"/>
    </xf>
    <xf numFmtId="0" fontId="6" fillId="2" borderId="0" xfId="0" applyFont="1" applyFill="1"/>
    <xf numFmtId="0" fontId="7" fillId="0" borderId="0" xfId="0" applyFont="1" applyAlignment="1">
      <alignment horizontal="center"/>
    </xf>
    <xf numFmtId="0" fontId="5" fillId="0" borderId="0" xfId="0" applyFont="1"/>
    <xf numFmtId="0" fontId="7" fillId="0" borderId="2" xfId="0" applyFont="1" applyBorder="1" applyAlignment="1">
      <alignment horizontal="center"/>
    </xf>
    <xf numFmtId="0" fontId="6" fillId="2" borderId="0" xfId="0" applyFont="1" applyFill="1" applyAlignment="1"/>
    <xf numFmtId="164" fontId="6" fillId="2" borderId="1" xfId="0" applyNumberFormat="1" applyFont="1" applyFill="1" applyBorder="1"/>
    <xf numFmtId="0" fontId="5" fillId="0" borderId="0" xfId="0" applyFont="1" applyAlignment="1">
      <alignment horizontal="center" vertical="center" wrapText="1"/>
    </xf>
    <xf numFmtId="0" fontId="5" fillId="0" borderId="0" xfId="0" applyFont="1" applyAlignment="1"/>
    <xf numFmtId="165" fontId="6" fillId="2" borderId="1" xfId="0" applyNumberFormat="1" applyFont="1" applyFill="1" applyBorder="1"/>
    <xf numFmtId="0" fontId="6" fillId="2" borderId="1" xfId="0" applyFont="1" applyFill="1" applyBorder="1" applyAlignment="1"/>
    <xf numFmtId="0" fontId="5" fillId="0" borderId="2" xfId="0" applyFont="1" applyBorder="1" applyAlignment="1">
      <alignment vertical="center" wrapText="1"/>
    </xf>
    <xf numFmtId="164" fontId="3" fillId="2" borderId="1" xfId="0" applyNumberFormat="1" applyFont="1" applyFill="1" applyBorder="1"/>
    <xf numFmtId="0" fontId="3" fillId="2" borderId="2" xfId="0" applyFont="1" applyFill="1" applyBorder="1" applyAlignment="1">
      <alignment horizontal="center" wrapText="1"/>
    </xf>
    <xf numFmtId="165" fontId="3" fillId="2" borderId="1" xfId="0" applyNumberFormat="1" applyFont="1" applyFill="1" applyBorder="1"/>
    <xf numFmtId="0" fontId="6" fillId="0" borderId="2" xfId="0" applyFont="1" applyBorder="1" applyAlignment="1">
      <alignment vertical="center" wrapText="1"/>
    </xf>
    <xf numFmtId="0" fontId="6" fillId="2" borderId="2" xfId="0" applyFont="1" applyFill="1" applyBorder="1" applyAlignment="1">
      <alignment horizontal="center"/>
    </xf>
    <xf numFmtId="0" fontId="6" fillId="2" borderId="2" xfId="0" applyFont="1" applyFill="1" applyBorder="1" applyAlignment="1"/>
    <xf numFmtId="3" fontId="6" fillId="2" borderId="1" xfId="0" applyNumberFormat="1" applyFont="1" applyFill="1" applyBorder="1" applyAlignment="1">
      <alignment horizontal="center"/>
    </xf>
    <xf numFmtId="3" fontId="6" fillId="2" borderId="2" xfId="0" applyNumberFormat="1" applyFont="1" applyFill="1" applyBorder="1" applyAlignment="1">
      <alignment horizontal="center"/>
    </xf>
    <xf numFmtId="166" fontId="6" fillId="2" borderId="2" xfId="0" applyNumberFormat="1" applyFont="1" applyFill="1" applyBorder="1" applyAlignment="1">
      <alignment horizontal="center"/>
    </xf>
    <xf numFmtId="166" fontId="6" fillId="2" borderId="2" xfId="0" applyNumberFormat="1" applyFont="1" applyFill="1" applyBorder="1" applyAlignment="1">
      <alignment horizontal="right"/>
    </xf>
    <xf numFmtId="164" fontId="6" fillId="2" borderId="1" xfId="0" applyNumberFormat="1" applyFont="1" applyFill="1" applyBorder="1" applyAlignment="1">
      <alignment horizontal="center"/>
    </xf>
    <xf numFmtId="166" fontId="5" fillId="0" borderId="2" xfId="0" applyNumberFormat="1" applyFont="1" applyBorder="1" applyAlignment="1">
      <alignment horizontal="center"/>
    </xf>
    <xf numFmtId="0" fontId="6" fillId="2" borderId="1" xfId="0" applyFont="1" applyFill="1" applyBorder="1" applyAlignment="1">
      <alignment horizontal="left" vertical="center" wrapText="1"/>
    </xf>
    <xf numFmtId="167" fontId="6" fillId="2" borderId="1" xfId="0" applyNumberFormat="1" applyFont="1" applyFill="1" applyBorder="1" applyAlignment="1">
      <alignment horizontal="center"/>
    </xf>
    <xf numFmtId="0" fontId="4" fillId="0" borderId="0" xfId="0" applyFont="1" applyAlignment="1">
      <alignment wrapText="1"/>
    </xf>
    <xf numFmtId="0" fontId="6" fillId="2" borderId="0" xfId="0" applyFont="1" applyFill="1" applyAlignment="1">
      <alignment wrapText="1"/>
    </xf>
    <xf numFmtId="0" fontId="11" fillId="2" borderId="0" xfId="0" applyFont="1" applyFill="1" applyAlignment="1">
      <alignment wrapText="1"/>
    </xf>
    <xf numFmtId="166" fontId="3" fillId="2" borderId="2" xfId="0" applyNumberFormat="1" applyFont="1" applyFill="1" applyBorder="1" applyAlignment="1">
      <alignment horizontal="right"/>
    </xf>
    <xf numFmtId="164" fontId="6" fillId="2" borderId="0" xfId="0" applyNumberFormat="1" applyFont="1" applyFill="1" applyAlignment="1">
      <alignment wrapText="1"/>
    </xf>
    <xf numFmtId="0" fontId="3" fillId="2" borderId="2" xfId="0" applyFont="1" applyFill="1" applyBorder="1" applyAlignment="1">
      <alignment horizontal="center" vertical="center" wrapText="1"/>
    </xf>
    <xf numFmtId="166" fontId="6" fillId="2" borderId="2" xfId="0" applyNumberFormat="1" applyFont="1" applyFill="1" applyBorder="1" applyAlignment="1">
      <alignment horizontal="right"/>
    </xf>
    <xf numFmtId="0" fontId="6" fillId="2" borderId="2" xfId="0" applyFont="1" applyFill="1" applyBorder="1" applyAlignment="1">
      <alignment wrapText="1"/>
    </xf>
    <xf numFmtId="165" fontId="6" fillId="2" borderId="2" xfId="0" applyNumberFormat="1" applyFont="1" applyFill="1" applyBorder="1" applyAlignment="1">
      <alignment wrapText="1"/>
    </xf>
    <xf numFmtId="0" fontId="11" fillId="2" borderId="2" xfId="0" applyFont="1" applyFill="1" applyBorder="1" applyAlignment="1">
      <alignment wrapText="1"/>
    </xf>
    <xf numFmtId="0" fontId="6" fillId="2" borderId="2" xfId="0" applyFont="1" applyFill="1" applyBorder="1" applyAlignment="1">
      <alignment vertical="top" wrapText="1"/>
    </xf>
    <xf numFmtId="0" fontId="6" fillId="2" borderId="2" xfId="0" applyFont="1" applyFill="1" applyBorder="1" applyAlignment="1"/>
    <xf numFmtId="164" fontId="3" fillId="2" borderId="2" xfId="0" applyNumberFormat="1" applyFont="1" applyFill="1" applyBorder="1" applyAlignment="1">
      <alignment vertical="top" wrapText="1"/>
    </xf>
    <xf numFmtId="0" fontId="3" fillId="2" borderId="2" xfId="0" applyFont="1" applyFill="1" applyBorder="1" applyAlignment="1">
      <alignment vertical="top" wrapText="1"/>
    </xf>
    <xf numFmtId="0" fontId="5" fillId="0" borderId="2" xfId="0" applyFont="1" applyBorder="1" applyAlignment="1"/>
    <xf numFmtId="0" fontId="6" fillId="2" borderId="0" xfId="0" applyFont="1" applyFill="1" applyAlignment="1">
      <alignment wrapText="1"/>
    </xf>
    <xf numFmtId="166" fontId="7" fillId="0" borderId="2" xfId="0" applyNumberFormat="1" applyFont="1" applyBorder="1" applyAlignment="1">
      <alignment horizontal="right"/>
    </xf>
    <xf numFmtId="166" fontId="5" fillId="0" borderId="2" xfId="0" applyNumberFormat="1" applyFont="1" applyBorder="1" applyAlignment="1">
      <alignment horizontal="right"/>
    </xf>
    <xf numFmtId="166" fontId="7" fillId="3" borderId="2" xfId="0" applyNumberFormat="1" applyFont="1" applyFill="1" applyBorder="1" applyAlignment="1">
      <alignment horizontal="right"/>
    </xf>
    <xf numFmtId="0" fontId="5" fillId="0" borderId="3" xfId="0" applyFont="1" applyBorder="1" applyAlignment="1">
      <alignment horizontal="center" vertical="center" wrapText="1"/>
    </xf>
    <xf numFmtId="0" fontId="10" fillId="0" borderId="6" xfId="0" applyFont="1" applyBorder="1"/>
    <xf numFmtId="0" fontId="10" fillId="0" borderId="12" xfId="0" applyFont="1" applyBorder="1"/>
    <xf numFmtId="0" fontId="3" fillId="2" borderId="8" xfId="0" applyFont="1" applyFill="1" applyBorder="1" applyAlignment="1"/>
    <xf numFmtId="0" fontId="10" fillId="0" borderId="9" xfId="0" applyFont="1" applyBorder="1"/>
    <xf numFmtId="0" fontId="10" fillId="0" borderId="10" xfId="0" applyFont="1" applyBorder="1"/>
    <xf numFmtId="0" fontId="7" fillId="0" borderId="8" xfId="0" applyFont="1" applyBorder="1" applyAlignment="1"/>
    <xf numFmtId="0" fontId="5" fillId="0" borderId="8" xfId="0" applyFont="1" applyBorder="1" applyAlignment="1"/>
    <xf numFmtId="0" fontId="7" fillId="3" borderId="8" xfId="0" applyFont="1" applyFill="1" applyBorder="1" applyAlignment="1"/>
    <xf numFmtId="0" fontId="7" fillId="0" borderId="0" xfId="0" applyFont="1" applyAlignment="1">
      <alignment horizontal="center"/>
    </xf>
    <xf numFmtId="0" fontId="0" fillId="0" borderId="0" xfId="0" applyFont="1" applyAlignment="1"/>
    <xf numFmtId="0" fontId="9" fillId="0" borderId="0" xfId="0" applyFont="1" applyAlignment="1">
      <alignment horizontal="center"/>
    </xf>
    <xf numFmtId="0" fontId="3" fillId="2" borderId="3" xfId="0" applyFont="1" applyFill="1" applyBorder="1" applyAlignment="1">
      <alignment horizontal="center" wrapText="1"/>
    </xf>
    <xf numFmtId="0" fontId="3" fillId="2" borderId="8" xfId="0" applyFont="1" applyFill="1" applyBorder="1" applyAlignment="1">
      <alignment horizontal="center" wrapText="1"/>
    </xf>
    <xf numFmtId="0" fontId="3" fillId="2" borderId="4" xfId="0" applyFont="1" applyFill="1" applyBorder="1" applyAlignment="1">
      <alignment horizontal="center" vertical="center" wrapText="1"/>
    </xf>
    <xf numFmtId="0" fontId="10" fillId="0" borderId="7" xfId="0" applyFont="1" applyBorder="1"/>
    <xf numFmtId="0" fontId="6" fillId="2" borderId="11" xfId="0" applyFont="1" applyFill="1" applyBorder="1"/>
    <xf numFmtId="0" fontId="10" fillId="0" borderId="15" xfId="0" applyFont="1" applyBorder="1"/>
    <xf numFmtId="0" fontId="3" fillId="2" borderId="0" xfId="0" applyFont="1" applyFill="1" applyAlignment="1">
      <alignment horizontal="center"/>
    </xf>
    <xf numFmtId="0" fontId="8" fillId="2" borderId="0" xfId="0" applyFont="1" applyFill="1" applyAlignment="1">
      <alignment horizontal="center"/>
    </xf>
    <xf numFmtId="0" fontId="3" fillId="2" borderId="4" xfId="0" applyFont="1" applyFill="1" applyBorder="1" applyAlignment="1">
      <alignment horizontal="left" vertical="center"/>
    </xf>
    <xf numFmtId="0" fontId="10" fillId="0" borderId="5" xfId="0" applyFont="1" applyBorder="1"/>
    <xf numFmtId="0" fontId="3" fillId="2" borderId="11"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10" fillId="0" borderId="14" xfId="0" applyFont="1" applyBorder="1"/>
    <xf numFmtId="0" fontId="10" fillId="0" borderId="16" xfId="0" applyFont="1" applyBorder="1"/>
    <xf numFmtId="0" fontId="10" fillId="0" borderId="17" xfId="0" applyFont="1" applyBorder="1"/>
    <xf numFmtId="0" fontId="6" fillId="2" borderId="4" xfId="0" applyFont="1" applyFill="1" applyBorder="1" applyAlignment="1">
      <alignment horizontal="left"/>
    </xf>
    <xf numFmtId="0" fontId="3" fillId="2" borderId="4" xfId="0" applyFont="1" applyFill="1" applyBorder="1"/>
    <xf numFmtId="0" fontId="3" fillId="2" borderId="4" xfId="0" applyFont="1" applyFill="1" applyBorder="1" applyAlignment="1"/>
    <xf numFmtId="0" fontId="6" fillId="2" borderId="4" xfId="0" applyFont="1" applyFill="1" applyBorder="1"/>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wrapText="1"/>
    </xf>
    <xf numFmtId="0" fontId="11" fillId="2" borderId="0" xfId="0" applyFont="1" applyFill="1" applyAlignment="1">
      <alignment horizontal="center" wrapText="1"/>
    </xf>
    <xf numFmtId="0" fontId="3"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sqref="A1:G1"/>
    </sheetView>
  </sheetViews>
  <sheetFormatPr defaultColWidth="12.6640625" defaultRowHeight="15.75" customHeight="1" x14ac:dyDescent="0.25"/>
  <cols>
    <col min="1" max="1" width="6.6640625" customWidth="1"/>
    <col min="2" max="2" width="56.109375" customWidth="1"/>
    <col min="6" max="6" width="13.109375" bestFit="1" customWidth="1"/>
    <col min="7" max="7" width="14.33203125" bestFit="1" customWidth="1"/>
  </cols>
  <sheetData>
    <row r="1" spans="1:26" ht="15.75" customHeight="1" x14ac:dyDescent="0.3">
      <c r="A1" s="60" t="s">
        <v>9</v>
      </c>
      <c r="B1" s="61"/>
      <c r="C1" s="61"/>
      <c r="D1" s="61"/>
      <c r="E1" s="61"/>
      <c r="F1" s="61"/>
      <c r="G1" s="61"/>
      <c r="H1" s="9"/>
      <c r="I1" s="9"/>
      <c r="J1" s="9"/>
      <c r="K1" s="9"/>
      <c r="L1" s="9"/>
      <c r="M1" s="9"/>
      <c r="N1" s="9"/>
      <c r="O1" s="9"/>
      <c r="P1" s="9"/>
      <c r="Q1" s="9"/>
      <c r="R1" s="9"/>
      <c r="S1" s="9"/>
      <c r="T1" s="9"/>
      <c r="U1" s="9"/>
      <c r="V1" s="9"/>
      <c r="W1" s="9"/>
      <c r="X1" s="9"/>
      <c r="Y1" s="9"/>
      <c r="Z1" s="9"/>
    </row>
    <row r="2" spans="1:26" ht="15.75" customHeight="1" x14ac:dyDescent="0.35">
      <c r="A2" s="62" t="s">
        <v>14</v>
      </c>
      <c r="B2" s="61"/>
      <c r="C2" s="61"/>
      <c r="D2" s="61"/>
      <c r="E2" s="61"/>
      <c r="F2" s="61"/>
      <c r="G2" s="61"/>
      <c r="H2" s="9"/>
      <c r="I2" s="9"/>
      <c r="J2" s="9"/>
      <c r="K2" s="9"/>
      <c r="L2" s="9"/>
      <c r="M2" s="9"/>
      <c r="N2" s="9"/>
      <c r="O2" s="9"/>
      <c r="P2" s="9"/>
      <c r="Q2" s="9"/>
      <c r="R2" s="9"/>
      <c r="S2" s="9"/>
      <c r="T2" s="9"/>
      <c r="U2" s="9"/>
      <c r="V2" s="9"/>
      <c r="W2" s="9"/>
      <c r="X2" s="9"/>
      <c r="Y2" s="9"/>
      <c r="Z2" s="9"/>
    </row>
    <row r="3" spans="1:26" ht="15.75" customHeight="1" x14ac:dyDescent="0.3">
      <c r="A3" s="14"/>
      <c r="B3" s="14"/>
      <c r="C3" s="14"/>
      <c r="D3" s="14"/>
      <c r="E3" s="14"/>
      <c r="F3" s="14"/>
      <c r="G3" s="14"/>
      <c r="H3" s="9"/>
      <c r="I3" s="9"/>
      <c r="J3" s="9"/>
      <c r="K3" s="9"/>
      <c r="L3" s="9"/>
      <c r="M3" s="9"/>
      <c r="N3" s="9"/>
      <c r="O3" s="9"/>
      <c r="P3" s="9"/>
      <c r="Q3" s="9"/>
      <c r="R3" s="9"/>
      <c r="S3" s="9"/>
      <c r="T3" s="9"/>
      <c r="U3" s="9"/>
      <c r="V3" s="9"/>
      <c r="W3" s="9"/>
      <c r="X3" s="9"/>
      <c r="Y3" s="9"/>
      <c r="Z3" s="9"/>
    </row>
    <row r="4" spans="1:26" ht="15.75" customHeight="1" x14ac:dyDescent="0.3">
      <c r="A4" s="63" t="s">
        <v>2</v>
      </c>
      <c r="B4" s="63" t="s">
        <v>26</v>
      </c>
      <c r="C4" s="64" t="s">
        <v>30</v>
      </c>
      <c r="D4" s="55"/>
      <c r="E4" s="56"/>
      <c r="F4" s="64" t="s">
        <v>37</v>
      </c>
      <c r="G4" s="56"/>
      <c r="H4" s="9"/>
      <c r="I4" s="9"/>
      <c r="J4" s="9"/>
      <c r="K4" s="9"/>
      <c r="L4" s="9"/>
      <c r="M4" s="9"/>
      <c r="N4" s="9"/>
      <c r="O4" s="9"/>
      <c r="P4" s="9"/>
      <c r="Q4" s="9"/>
      <c r="R4" s="9"/>
      <c r="S4" s="9"/>
      <c r="T4" s="9"/>
      <c r="U4" s="9"/>
      <c r="V4" s="9"/>
      <c r="W4" s="9"/>
      <c r="X4" s="9"/>
      <c r="Y4" s="9"/>
      <c r="Z4" s="9"/>
    </row>
    <row r="5" spans="1:26" ht="15.75" customHeight="1" x14ac:dyDescent="0.3">
      <c r="A5" s="52"/>
      <c r="B5" s="52"/>
      <c r="C5" s="19" t="s">
        <v>43</v>
      </c>
      <c r="D5" s="19" t="s">
        <v>47</v>
      </c>
      <c r="E5" s="19" t="s">
        <v>48</v>
      </c>
      <c r="F5" s="19" t="s">
        <v>50</v>
      </c>
      <c r="G5" s="19" t="s">
        <v>48</v>
      </c>
      <c r="H5" s="9"/>
      <c r="I5" s="9"/>
      <c r="J5" s="9"/>
      <c r="K5" s="9"/>
      <c r="L5" s="9"/>
      <c r="M5" s="9"/>
      <c r="N5" s="9"/>
      <c r="O5" s="9"/>
      <c r="P5" s="9"/>
      <c r="Q5" s="9"/>
      <c r="R5" s="9"/>
      <c r="S5" s="9"/>
      <c r="T5" s="9"/>
      <c r="U5" s="9"/>
      <c r="V5" s="9"/>
      <c r="W5" s="9"/>
      <c r="X5" s="9"/>
      <c r="Y5" s="9"/>
      <c r="Z5" s="9"/>
    </row>
    <row r="6" spans="1:26" ht="15.75" customHeight="1" x14ac:dyDescent="0.3">
      <c r="A6" s="54" t="s">
        <v>54</v>
      </c>
      <c r="B6" s="55"/>
      <c r="C6" s="55"/>
      <c r="D6" s="55"/>
      <c r="E6" s="55"/>
      <c r="F6" s="55"/>
      <c r="G6" s="56"/>
      <c r="H6" s="9"/>
      <c r="I6" s="9"/>
      <c r="J6" s="9"/>
      <c r="K6" s="9"/>
      <c r="L6" s="9"/>
      <c r="M6" s="9"/>
      <c r="N6" s="9"/>
      <c r="O6" s="9"/>
      <c r="P6" s="9"/>
      <c r="Q6" s="9"/>
      <c r="R6" s="9"/>
      <c r="S6" s="9"/>
      <c r="T6" s="9"/>
      <c r="U6" s="9"/>
      <c r="V6" s="9"/>
      <c r="W6" s="9"/>
      <c r="X6" s="9"/>
      <c r="Y6" s="9"/>
      <c r="Z6" s="9"/>
    </row>
    <row r="7" spans="1:26" ht="15.75" customHeight="1" x14ac:dyDescent="0.3">
      <c r="A7" s="22">
        <v>1</v>
      </c>
      <c r="B7" s="23" t="s">
        <v>67</v>
      </c>
      <c r="C7" s="22">
        <v>1</v>
      </c>
      <c r="D7" s="22">
        <v>6</v>
      </c>
      <c r="E7" s="25">
        <f t="shared" ref="E7:E19" si="0">C7*D7</f>
        <v>6</v>
      </c>
      <c r="F7" s="27">
        <v>30000</v>
      </c>
      <c r="G7" s="27">
        <f t="shared" ref="G7:G19" si="1">E7*F7</f>
        <v>180000</v>
      </c>
      <c r="H7" s="9"/>
      <c r="I7" s="9"/>
      <c r="J7" s="9"/>
      <c r="K7" s="9"/>
      <c r="L7" s="9"/>
      <c r="M7" s="9"/>
      <c r="N7" s="9"/>
      <c r="O7" s="9"/>
      <c r="P7" s="9"/>
      <c r="Q7" s="9"/>
      <c r="R7" s="9"/>
      <c r="S7" s="9"/>
      <c r="T7" s="9"/>
      <c r="U7" s="9"/>
      <c r="V7" s="9"/>
      <c r="W7" s="9"/>
      <c r="X7" s="9"/>
      <c r="Y7" s="9"/>
      <c r="Z7" s="9"/>
    </row>
    <row r="8" spans="1:26" ht="15.75" customHeight="1" x14ac:dyDescent="0.3">
      <c r="A8" s="22">
        <v>2</v>
      </c>
      <c r="B8" s="23" t="s">
        <v>96</v>
      </c>
      <c r="C8" s="22">
        <v>2</v>
      </c>
      <c r="D8" s="22">
        <v>5</v>
      </c>
      <c r="E8" s="25">
        <f t="shared" si="0"/>
        <v>10</v>
      </c>
      <c r="F8" s="27">
        <v>50000</v>
      </c>
      <c r="G8" s="27">
        <f t="shared" si="1"/>
        <v>500000</v>
      </c>
      <c r="H8" s="9"/>
      <c r="I8" s="9"/>
      <c r="J8" s="9"/>
      <c r="K8" s="9"/>
      <c r="L8" s="9"/>
      <c r="M8" s="9"/>
      <c r="N8" s="9"/>
      <c r="O8" s="9"/>
      <c r="P8" s="9"/>
      <c r="Q8" s="9"/>
      <c r="R8" s="9"/>
      <c r="S8" s="9"/>
      <c r="T8" s="9"/>
      <c r="U8" s="9"/>
      <c r="V8" s="9"/>
      <c r="W8" s="9"/>
      <c r="X8" s="9"/>
      <c r="Y8" s="9"/>
      <c r="Z8" s="9"/>
    </row>
    <row r="9" spans="1:26" ht="15.75" customHeight="1" x14ac:dyDescent="0.3">
      <c r="A9" s="22">
        <v>3</v>
      </c>
      <c r="B9" s="23" t="s">
        <v>103</v>
      </c>
      <c r="C9" s="22">
        <v>2</v>
      </c>
      <c r="D9" s="22">
        <v>4</v>
      </c>
      <c r="E9" s="25">
        <f t="shared" si="0"/>
        <v>8</v>
      </c>
      <c r="F9" s="27">
        <v>50000</v>
      </c>
      <c r="G9" s="27">
        <f t="shared" si="1"/>
        <v>400000</v>
      </c>
      <c r="H9" s="9"/>
      <c r="I9" s="9"/>
      <c r="J9" s="9"/>
      <c r="K9" s="9"/>
      <c r="L9" s="9"/>
      <c r="M9" s="9"/>
      <c r="N9" s="9"/>
      <c r="O9" s="9"/>
      <c r="P9" s="9"/>
      <c r="Q9" s="9"/>
      <c r="R9" s="9"/>
      <c r="S9" s="9"/>
      <c r="T9" s="9"/>
      <c r="U9" s="9"/>
      <c r="V9" s="9"/>
      <c r="W9" s="9"/>
      <c r="X9" s="9"/>
      <c r="Y9" s="9"/>
      <c r="Z9" s="9"/>
    </row>
    <row r="10" spans="1:26" ht="15.75" customHeight="1" x14ac:dyDescent="0.3">
      <c r="A10" s="22">
        <v>4</v>
      </c>
      <c r="B10" s="23" t="s">
        <v>108</v>
      </c>
      <c r="C10" s="22">
        <v>1</v>
      </c>
      <c r="D10" s="22">
        <v>3</v>
      </c>
      <c r="E10" s="25">
        <f t="shared" si="0"/>
        <v>3</v>
      </c>
      <c r="F10" s="27">
        <v>50000</v>
      </c>
      <c r="G10" s="27">
        <f t="shared" si="1"/>
        <v>150000</v>
      </c>
      <c r="H10" s="9"/>
      <c r="I10" s="9"/>
      <c r="J10" s="9"/>
      <c r="K10" s="9"/>
      <c r="L10" s="9"/>
      <c r="M10" s="9"/>
      <c r="N10" s="9"/>
      <c r="O10" s="9"/>
      <c r="P10" s="9"/>
      <c r="Q10" s="9"/>
      <c r="R10" s="9"/>
      <c r="S10" s="9"/>
      <c r="T10" s="9"/>
      <c r="U10" s="9"/>
      <c r="V10" s="9"/>
      <c r="W10" s="9"/>
      <c r="X10" s="9"/>
      <c r="Y10" s="9"/>
      <c r="Z10" s="9"/>
    </row>
    <row r="11" spans="1:26" ht="15.75" customHeight="1" x14ac:dyDescent="0.3">
      <c r="A11" s="22">
        <v>5</v>
      </c>
      <c r="B11" s="23" t="s">
        <v>112</v>
      </c>
      <c r="C11" s="22">
        <v>2</v>
      </c>
      <c r="D11" s="22">
        <v>7</v>
      </c>
      <c r="E11" s="25">
        <f t="shared" si="0"/>
        <v>14</v>
      </c>
      <c r="F11" s="27">
        <v>50000</v>
      </c>
      <c r="G11" s="27">
        <f t="shared" si="1"/>
        <v>700000</v>
      </c>
      <c r="H11" s="9"/>
      <c r="I11" s="9"/>
      <c r="J11" s="9"/>
      <c r="K11" s="9"/>
      <c r="L11" s="9"/>
      <c r="M11" s="9"/>
      <c r="N11" s="9"/>
      <c r="O11" s="9"/>
      <c r="P11" s="9"/>
      <c r="Q11" s="9"/>
      <c r="R11" s="9"/>
      <c r="S11" s="9"/>
      <c r="T11" s="9"/>
      <c r="U11" s="9"/>
      <c r="V11" s="9"/>
      <c r="W11" s="9"/>
      <c r="X11" s="9"/>
      <c r="Y11" s="9"/>
      <c r="Z11" s="9"/>
    </row>
    <row r="12" spans="1:26" ht="15.75" customHeight="1" x14ac:dyDescent="0.3">
      <c r="A12" s="22">
        <v>6</v>
      </c>
      <c r="B12" s="23" t="s">
        <v>113</v>
      </c>
      <c r="C12" s="22">
        <v>2</v>
      </c>
      <c r="D12" s="22">
        <v>3</v>
      </c>
      <c r="E12" s="25">
        <f t="shared" si="0"/>
        <v>6</v>
      </c>
      <c r="F12" s="27">
        <v>50000</v>
      </c>
      <c r="G12" s="27">
        <f t="shared" si="1"/>
        <v>300000</v>
      </c>
      <c r="H12" s="9"/>
      <c r="I12" s="9"/>
      <c r="J12" s="9"/>
      <c r="K12" s="9"/>
      <c r="L12" s="9"/>
      <c r="M12" s="9"/>
      <c r="N12" s="9"/>
      <c r="O12" s="9"/>
      <c r="P12" s="9"/>
      <c r="Q12" s="9"/>
      <c r="R12" s="9"/>
      <c r="S12" s="9"/>
      <c r="T12" s="9"/>
      <c r="U12" s="9"/>
      <c r="V12" s="9"/>
      <c r="W12" s="9"/>
      <c r="X12" s="9"/>
      <c r="Y12" s="9"/>
      <c r="Z12" s="9"/>
    </row>
    <row r="13" spans="1:26" ht="15.75" customHeight="1" x14ac:dyDescent="0.3">
      <c r="A13" s="22">
        <v>7</v>
      </c>
      <c r="B13" s="23" t="s">
        <v>117</v>
      </c>
      <c r="C13" s="22">
        <v>2</v>
      </c>
      <c r="D13" s="22">
        <v>4</v>
      </c>
      <c r="E13" s="25">
        <f t="shared" si="0"/>
        <v>8</v>
      </c>
      <c r="F13" s="27">
        <v>50000</v>
      </c>
      <c r="G13" s="27">
        <f t="shared" si="1"/>
        <v>400000</v>
      </c>
      <c r="H13" s="9"/>
      <c r="I13" s="9"/>
      <c r="J13" s="9"/>
      <c r="K13" s="9"/>
      <c r="L13" s="9"/>
      <c r="M13" s="9"/>
      <c r="N13" s="9"/>
      <c r="O13" s="9"/>
      <c r="P13" s="9"/>
      <c r="Q13" s="9"/>
      <c r="R13" s="9"/>
      <c r="S13" s="9"/>
      <c r="T13" s="9"/>
      <c r="U13" s="9"/>
      <c r="V13" s="9"/>
      <c r="W13" s="9"/>
      <c r="X13" s="9"/>
      <c r="Y13" s="9"/>
      <c r="Z13" s="9"/>
    </row>
    <row r="14" spans="1:26" ht="15.75" customHeight="1" x14ac:dyDescent="0.3">
      <c r="A14" s="22">
        <v>8</v>
      </c>
      <c r="B14" s="23" t="s">
        <v>119</v>
      </c>
      <c r="C14" s="22">
        <v>2</v>
      </c>
      <c r="D14" s="22">
        <v>3</v>
      </c>
      <c r="E14" s="25">
        <f t="shared" si="0"/>
        <v>6</v>
      </c>
      <c r="F14" s="27">
        <v>50000</v>
      </c>
      <c r="G14" s="27">
        <f t="shared" si="1"/>
        <v>300000</v>
      </c>
      <c r="H14" s="9"/>
      <c r="I14" s="9"/>
      <c r="J14" s="9"/>
      <c r="K14" s="9"/>
      <c r="L14" s="9"/>
      <c r="M14" s="9"/>
      <c r="N14" s="9"/>
      <c r="O14" s="9"/>
      <c r="P14" s="9"/>
      <c r="Q14" s="9"/>
      <c r="R14" s="9"/>
      <c r="S14" s="9"/>
      <c r="T14" s="9"/>
      <c r="U14" s="9"/>
      <c r="V14" s="9"/>
      <c r="W14" s="9"/>
      <c r="X14" s="9"/>
      <c r="Y14" s="9"/>
      <c r="Z14" s="9"/>
    </row>
    <row r="15" spans="1:26" ht="15.75" customHeight="1" x14ac:dyDescent="0.3">
      <c r="A15" s="22">
        <v>9</v>
      </c>
      <c r="B15" s="23" t="s">
        <v>130</v>
      </c>
      <c r="C15" s="22">
        <v>2</v>
      </c>
      <c r="D15" s="22">
        <v>4</v>
      </c>
      <c r="E15" s="25">
        <f t="shared" si="0"/>
        <v>8</v>
      </c>
      <c r="F15" s="27">
        <v>50000</v>
      </c>
      <c r="G15" s="27">
        <f t="shared" si="1"/>
        <v>400000</v>
      </c>
      <c r="H15" s="9"/>
      <c r="I15" s="9"/>
      <c r="J15" s="9"/>
      <c r="K15" s="9"/>
      <c r="L15" s="9"/>
      <c r="M15" s="9"/>
      <c r="N15" s="9"/>
      <c r="O15" s="9"/>
      <c r="P15" s="9"/>
      <c r="Q15" s="9"/>
      <c r="R15" s="9"/>
      <c r="S15" s="9"/>
      <c r="T15" s="9"/>
      <c r="U15" s="9"/>
      <c r="V15" s="9"/>
      <c r="W15" s="9"/>
      <c r="X15" s="9"/>
      <c r="Y15" s="9"/>
      <c r="Z15" s="9"/>
    </row>
    <row r="16" spans="1:26" ht="15.75" customHeight="1" x14ac:dyDescent="0.3">
      <c r="A16" s="22">
        <v>10</v>
      </c>
      <c r="B16" s="23" t="s">
        <v>133</v>
      </c>
      <c r="C16" s="22">
        <v>2</v>
      </c>
      <c r="D16" s="22">
        <v>5</v>
      </c>
      <c r="E16" s="25">
        <f t="shared" si="0"/>
        <v>10</v>
      </c>
      <c r="F16" s="27">
        <v>50000</v>
      </c>
      <c r="G16" s="27">
        <f t="shared" si="1"/>
        <v>500000</v>
      </c>
      <c r="H16" s="9"/>
      <c r="I16" s="9"/>
      <c r="J16" s="9"/>
      <c r="K16" s="9"/>
      <c r="L16" s="9"/>
      <c r="M16" s="9"/>
      <c r="N16" s="9"/>
      <c r="O16" s="9"/>
      <c r="P16" s="9"/>
      <c r="Q16" s="9"/>
      <c r="R16" s="9"/>
      <c r="S16" s="9"/>
      <c r="T16" s="9"/>
      <c r="U16" s="9"/>
      <c r="V16" s="9"/>
      <c r="W16" s="9"/>
      <c r="X16" s="9"/>
      <c r="Y16" s="9"/>
      <c r="Z16" s="9"/>
    </row>
    <row r="17" spans="1:26" ht="15.75" customHeight="1" x14ac:dyDescent="0.3">
      <c r="A17" s="22">
        <v>11</v>
      </c>
      <c r="B17" s="23" t="s">
        <v>134</v>
      </c>
      <c r="C17" s="22">
        <v>2</v>
      </c>
      <c r="D17" s="22">
        <v>4</v>
      </c>
      <c r="E17" s="25">
        <f t="shared" si="0"/>
        <v>8</v>
      </c>
      <c r="F17" s="27">
        <v>50000</v>
      </c>
      <c r="G17" s="27">
        <f t="shared" si="1"/>
        <v>400000</v>
      </c>
      <c r="H17" s="9"/>
      <c r="I17" s="9"/>
      <c r="J17" s="9"/>
      <c r="K17" s="9"/>
      <c r="L17" s="9"/>
      <c r="M17" s="9"/>
      <c r="N17" s="9"/>
      <c r="O17" s="9"/>
      <c r="P17" s="9"/>
      <c r="Q17" s="9"/>
      <c r="R17" s="9"/>
      <c r="S17" s="9"/>
      <c r="T17" s="9"/>
      <c r="U17" s="9"/>
      <c r="V17" s="9"/>
      <c r="W17" s="9"/>
      <c r="X17" s="9"/>
      <c r="Y17" s="9"/>
      <c r="Z17" s="9"/>
    </row>
    <row r="18" spans="1:26" ht="15.75" customHeight="1" x14ac:dyDescent="0.3">
      <c r="A18" s="22">
        <v>12</v>
      </c>
      <c r="B18" s="23" t="s">
        <v>137</v>
      </c>
      <c r="C18" s="22">
        <v>1</v>
      </c>
      <c r="D18" s="22">
        <v>5</v>
      </c>
      <c r="E18" s="25">
        <f t="shared" si="0"/>
        <v>5</v>
      </c>
      <c r="F18" s="27">
        <v>40000</v>
      </c>
      <c r="G18" s="27">
        <f t="shared" si="1"/>
        <v>200000</v>
      </c>
      <c r="H18" s="9"/>
      <c r="I18" s="9"/>
      <c r="J18" s="9"/>
      <c r="K18" s="9"/>
      <c r="L18" s="9"/>
      <c r="M18" s="9"/>
      <c r="N18" s="9"/>
      <c r="O18" s="9"/>
      <c r="P18" s="9"/>
      <c r="Q18" s="9"/>
      <c r="R18" s="9"/>
      <c r="S18" s="9"/>
      <c r="T18" s="9"/>
      <c r="U18" s="9"/>
      <c r="V18" s="9"/>
      <c r="W18" s="9"/>
      <c r="X18" s="9"/>
      <c r="Y18" s="9"/>
      <c r="Z18" s="9"/>
    </row>
    <row r="19" spans="1:26" ht="15.75" customHeight="1" x14ac:dyDescent="0.3">
      <c r="A19" s="22">
        <v>13</v>
      </c>
      <c r="B19" s="23" t="s">
        <v>142</v>
      </c>
      <c r="C19" s="22">
        <v>1</v>
      </c>
      <c r="D19" s="22">
        <v>5</v>
      </c>
      <c r="E19" s="25">
        <f t="shared" si="0"/>
        <v>5</v>
      </c>
      <c r="F19" s="27">
        <v>20000</v>
      </c>
      <c r="G19" s="27">
        <f t="shared" si="1"/>
        <v>100000</v>
      </c>
      <c r="H19" s="9"/>
      <c r="I19" s="9"/>
      <c r="J19" s="9"/>
      <c r="K19" s="9"/>
      <c r="L19" s="9"/>
      <c r="M19" s="9"/>
      <c r="N19" s="9"/>
      <c r="O19" s="9"/>
      <c r="P19" s="9"/>
      <c r="Q19" s="9"/>
      <c r="R19" s="9"/>
      <c r="S19" s="9"/>
      <c r="T19" s="9"/>
      <c r="U19" s="9"/>
      <c r="V19" s="9"/>
      <c r="W19" s="9"/>
      <c r="X19" s="9"/>
      <c r="Y19" s="9"/>
      <c r="Z19" s="9"/>
    </row>
    <row r="20" spans="1:26" ht="15.75" customHeight="1" x14ac:dyDescent="0.3">
      <c r="A20" s="54" t="s">
        <v>147</v>
      </c>
      <c r="B20" s="55"/>
      <c r="C20" s="55"/>
      <c r="D20" s="55"/>
      <c r="E20" s="55"/>
      <c r="F20" s="56"/>
      <c r="G20" s="35">
        <f>SUM(G7:G19)</f>
        <v>4530000</v>
      </c>
      <c r="H20" s="9"/>
      <c r="I20" s="9"/>
      <c r="J20" s="9"/>
      <c r="K20" s="9"/>
      <c r="L20" s="9"/>
      <c r="M20" s="9"/>
      <c r="N20" s="9"/>
      <c r="O20" s="9"/>
      <c r="P20" s="9"/>
      <c r="Q20" s="9"/>
      <c r="R20" s="9"/>
      <c r="S20" s="9"/>
      <c r="T20" s="9"/>
      <c r="U20" s="9"/>
      <c r="V20" s="9"/>
      <c r="W20" s="9"/>
      <c r="X20" s="9"/>
      <c r="Y20" s="9"/>
      <c r="Z20" s="9"/>
    </row>
    <row r="21" spans="1:26" ht="15.75" customHeight="1" x14ac:dyDescent="0.3">
      <c r="A21" s="54" t="s">
        <v>161</v>
      </c>
      <c r="B21" s="55"/>
      <c r="C21" s="55"/>
      <c r="D21" s="55"/>
      <c r="E21" s="55"/>
      <c r="F21" s="55"/>
      <c r="G21" s="56"/>
      <c r="H21" s="9"/>
      <c r="I21" s="9"/>
      <c r="J21" s="9"/>
      <c r="K21" s="9"/>
      <c r="L21" s="9"/>
      <c r="M21" s="9"/>
      <c r="N21" s="9"/>
      <c r="O21" s="9"/>
      <c r="P21" s="9"/>
      <c r="Q21" s="9"/>
      <c r="R21" s="9"/>
      <c r="S21" s="9"/>
      <c r="T21" s="9"/>
      <c r="U21" s="9"/>
      <c r="V21" s="9"/>
      <c r="W21" s="9"/>
      <c r="X21" s="9"/>
      <c r="Y21" s="9"/>
      <c r="Z21" s="9"/>
    </row>
    <row r="22" spans="1:26" ht="15.75" customHeight="1" x14ac:dyDescent="0.3">
      <c r="A22" s="22">
        <v>14</v>
      </c>
      <c r="B22" s="23" t="s">
        <v>66</v>
      </c>
      <c r="C22" s="22">
        <v>1</v>
      </c>
      <c r="D22" s="22">
        <v>1</v>
      </c>
      <c r="E22" s="25">
        <f t="shared" ref="E22:E24" si="2">C22*D22</f>
        <v>1</v>
      </c>
      <c r="F22" s="38">
        <v>4312000</v>
      </c>
      <c r="G22" s="27">
        <f t="shared" ref="G22:G24" si="3">E22*F22</f>
        <v>4312000</v>
      </c>
      <c r="H22" s="9"/>
      <c r="I22" s="9"/>
      <c r="J22" s="9"/>
      <c r="K22" s="9"/>
      <c r="L22" s="9"/>
      <c r="M22" s="9"/>
      <c r="N22" s="9"/>
      <c r="O22" s="9"/>
      <c r="P22" s="9"/>
      <c r="Q22" s="9"/>
      <c r="R22" s="9"/>
      <c r="S22" s="9"/>
      <c r="T22" s="9"/>
      <c r="U22" s="9"/>
      <c r="V22" s="9"/>
      <c r="W22" s="9"/>
      <c r="X22" s="9"/>
      <c r="Y22" s="9"/>
      <c r="Z22" s="9"/>
    </row>
    <row r="23" spans="1:26" ht="15.75" customHeight="1" x14ac:dyDescent="0.3">
      <c r="A23" s="22">
        <v>15</v>
      </c>
      <c r="B23" s="23" t="s">
        <v>95</v>
      </c>
      <c r="C23" s="22">
        <v>1</v>
      </c>
      <c r="D23" s="22">
        <v>1</v>
      </c>
      <c r="E23" s="25">
        <f t="shared" si="2"/>
        <v>1</v>
      </c>
      <c r="F23" s="38">
        <v>5390000</v>
      </c>
      <c r="G23" s="27">
        <f t="shared" si="3"/>
        <v>5390000</v>
      </c>
      <c r="H23" s="9"/>
      <c r="I23" s="9"/>
      <c r="J23" s="9"/>
      <c r="K23" s="9"/>
      <c r="L23" s="9"/>
      <c r="M23" s="9"/>
      <c r="N23" s="9"/>
      <c r="O23" s="9"/>
      <c r="P23" s="9"/>
      <c r="Q23" s="9"/>
      <c r="R23" s="9"/>
      <c r="S23" s="9"/>
      <c r="T23" s="9"/>
      <c r="U23" s="9"/>
      <c r="V23" s="9"/>
      <c r="W23" s="9"/>
      <c r="X23" s="9"/>
      <c r="Y23" s="9"/>
      <c r="Z23" s="9"/>
    </row>
    <row r="24" spans="1:26" ht="15.75" customHeight="1" x14ac:dyDescent="0.3">
      <c r="A24" s="22">
        <v>16</v>
      </c>
      <c r="B24" s="43" t="s">
        <v>184</v>
      </c>
      <c r="C24" s="22">
        <v>1</v>
      </c>
      <c r="D24" s="22">
        <v>1</v>
      </c>
      <c r="E24" s="25">
        <f t="shared" si="2"/>
        <v>1</v>
      </c>
      <c r="F24" s="29">
        <v>4260000</v>
      </c>
      <c r="G24" s="27">
        <f t="shared" si="3"/>
        <v>4260000</v>
      </c>
      <c r="H24" s="9"/>
      <c r="I24" s="9"/>
      <c r="J24" s="9"/>
      <c r="K24" s="9"/>
      <c r="L24" s="9"/>
      <c r="M24" s="9"/>
      <c r="N24" s="9"/>
      <c r="O24" s="9"/>
      <c r="P24" s="9"/>
      <c r="Q24" s="9"/>
      <c r="R24" s="9"/>
      <c r="S24" s="9"/>
      <c r="T24" s="9"/>
      <c r="U24" s="9"/>
      <c r="V24" s="9"/>
      <c r="W24" s="9"/>
      <c r="X24" s="9"/>
      <c r="Y24" s="9"/>
      <c r="Z24" s="9"/>
    </row>
    <row r="25" spans="1:26" ht="15.75" customHeight="1" x14ac:dyDescent="0.3">
      <c r="A25" s="54" t="s">
        <v>190</v>
      </c>
      <c r="B25" s="55"/>
      <c r="C25" s="55"/>
      <c r="D25" s="55"/>
      <c r="E25" s="55"/>
      <c r="F25" s="56"/>
      <c r="G25" s="35">
        <f>SUM(G22:G24)</f>
        <v>13962000</v>
      </c>
      <c r="H25" s="9"/>
      <c r="I25" s="9"/>
      <c r="J25" s="9"/>
      <c r="K25" s="9"/>
      <c r="L25" s="9"/>
      <c r="M25" s="9"/>
      <c r="N25" s="9"/>
      <c r="O25" s="9"/>
      <c r="P25" s="9"/>
      <c r="Q25" s="9"/>
      <c r="R25" s="9"/>
      <c r="S25" s="9"/>
      <c r="T25" s="9"/>
      <c r="U25" s="9"/>
      <c r="V25" s="9"/>
      <c r="W25" s="9"/>
      <c r="X25" s="9"/>
      <c r="Y25" s="9"/>
      <c r="Z25" s="9"/>
    </row>
    <row r="26" spans="1:26" ht="15.75" customHeight="1" x14ac:dyDescent="0.3">
      <c r="A26" s="54" t="s">
        <v>196</v>
      </c>
      <c r="B26" s="55"/>
      <c r="C26" s="55"/>
      <c r="D26" s="55"/>
      <c r="E26" s="55"/>
      <c r="F26" s="55"/>
      <c r="G26" s="56"/>
      <c r="H26" s="9"/>
      <c r="I26" s="9"/>
      <c r="J26" s="9"/>
      <c r="K26" s="9"/>
      <c r="L26" s="9"/>
      <c r="M26" s="9"/>
      <c r="N26" s="9"/>
      <c r="O26" s="9"/>
      <c r="P26" s="9"/>
      <c r="Q26" s="9"/>
      <c r="R26" s="9"/>
      <c r="S26" s="9"/>
      <c r="T26" s="9"/>
      <c r="U26" s="9"/>
      <c r="V26" s="9"/>
      <c r="W26" s="9"/>
      <c r="X26" s="9"/>
      <c r="Y26" s="9"/>
      <c r="Z26" s="9"/>
    </row>
    <row r="27" spans="1:26" ht="15.75" customHeight="1" x14ac:dyDescent="0.3">
      <c r="A27" s="22">
        <v>17</v>
      </c>
      <c r="B27" s="43" t="s">
        <v>199</v>
      </c>
      <c r="C27" s="22">
        <v>1</v>
      </c>
      <c r="D27" s="22">
        <v>1</v>
      </c>
      <c r="E27" s="25">
        <f t="shared" ref="E27:E28" si="4">C27*D27</f>
        <v>1</v>
      </c>
      <c r="F27" s="27">
        <v>500000</v>
      </c>
      <c r="G27" s="27">
        <f t="shared" ref="G27:G28" si="5">E27*F27</f>
        <v>500000</v>
      </c>
      <c r="H27" s="9"/>
      <c r="I27" s="9"/>
      <c r="J27" s="9"/>
      <c r="K27" s="9"/>
      <c r="L27" s="9"/>
      <c r="M27" s="9"/>
      <c r="N27" s="9"/>
      <c r="O27" s="9"/>
      <c r="P27" s="9"/>
      <c r="Q27" s="9"/>
      <c r="R27" s="9"/>
      <c r="S27" s="9"/>
      <c r="T27" s="9"/>
      <c r="U27" s="9"/>
      <c r="V27" s="9"/>
      <c r="W27" s="9"/>
      <c r="X27" s="9"/>
      <c r="Y27" s="9"/>
      <c r="Z27" s="9"/>
    </row>
    <row r="28" spans="1:26" ht="15.75" customHeight="1" x14ac:dyDescent="0.3">
      <c r="A28" s="22">
        <v>18</v>
      </c>
      <c r="B28" s="23" t="s">
        <v>209</v>
      </c>
      <c r="C28" s="22">
        <v>1</v>
      </c>
      <c r="D28" s="22">
        <v>1</v>
      </c>
      <c r="E28" s="25">
        <f t="shared" si="4"/>
        <v>1</v>
      </c>
      <c r="F28" s="38">
        <v>100000</v>
      </c>
      <c r="G28" s="27">
        <f t="shared" si="5"/>
        <v>100000</v>
      </c>
      <c r="H28" s="9"/>
      <c r="I28" s="9"/>
      <c r="J28" s="9"/>
      <c r="K28" s="9"/>
      <c r="L28" s="9"/>
      <c r="M28" s="9"/>
      <c r="N28" s="9"/>
      <c r="O28" s="9"/>
      <c r="P28" s="9"/>
      <c r="Q28" s="9"/>
      <c r="R28" s="9"/>
      <c r="S28" s="9"/>
      <c r="T28" s="9"/>
      <c r="U28" s="9"/>
      <c r="V28" s="9"/>
      <c r="W28" s="9"/>
      <c r="X28" s="9"/>
      <c r="Y28" s="9"/>
      <c r="Z28" s="9"/>
    </row>
    <row r="29" spans="1:26" ht="15.75" customHeight="1" x14ac:dyDescent="0.3">
      <c r="A29" s="54" t="s">
        <v>212</v>
      </c>
      <c r="B29" s="55"/>
      <c r="C29" s="55"/>
      <c r="D29" s="55"/>
      <c r="E29" s="55"/>
      <c r="F29" s="56"/>
      <c r="G29" s="35">
        <f>SUM(G27:G28)</f>
        <v>600000</v>
      </c>
      <c r="H29" s="9"/>
      <c r="I29" s="9"/>
      <c r="J29" s="9"/>
      <c r="K29" s="9"/>
      <c r="L29" s="9"/>
      <c r="M29" s="9"/>
      <c r="N29" s="9"/>
      <c r="O29" s="9"/>
      <c r="P29" s="9"/>
      <c r="Q29" s="9"/>
      <c r="R29" s="9"/>
      <c r="S29" s="9"/>
      <c r="T29" s="9"/>
      <c r="U29" s="9"/>
      <c r="V29" s="9"/>
      <c r="W29" s="9"/>
      <c r="X29" s="9"/>
      <c r="Y29" s="9"/>
      <c r="Z29" s="9"/>
    </row>
    <row r="30" spans="1:26" ht="15.6" x14ac:dyDescent="0.3">
      <c r="A30" s="46"/>
      <c r="B30" s="46"/>
      <c r="C30" s="46"/>
      <c r="D30" s="46"/>
      <c r="E30" s="46"/>
      <c r="F30" s="46"/>
      <c r="G30" s="46"/>
      <c r="H30" s="9"/>
      <c r="I30" s="9"/>
      <c r="J30" s="9"/>
      <c r="K30" s="9"/>
      <c r="L30" s="9"/>
      <c r="M30" s="9"/>
      <c r="N30" s="9"/>
      <c r="O30" s="9"/>
      <c r="P30" s="9"/>
      <c r="Q30" s="9"/>
      <c r="R30" s="9"/>
      <c r="S30" s="9"/>
      <c r="T30" s="9"/>
      <c r="U30" s="9"/>
      <c r="V30" s="9"/>
      <c r="W30" s="9"/>
      <c r="X30" s="9"/>
      <c r="Y30" s="9"/>
      <c r="Z30" s="9"/>
    </row>
    <row r="31" spans="1:26" ht="15.6" x14ac:dyDescent="0.3">
      <c r="A31" s="57" t="s">
        <v>217</v>
      </c>
      <c r="B31" s="55"/>
      <c r="C31" s="55"/>
      <c r="D31" s="55"/>
      <c r="E31" s="55"/>
      <c r="F31" s="56"/>
      <c r="G31" s="48">
        <f>G20+G25+G29</f>
        <v>19092000</v>
      </c>
      <c r="H31" s="9"/>
      <c r="I31" s="9"/>
      <c r="J31" s="9"/>
      <c r="K31" s="9"/>
      <c r="L31" s="9"/>
      <c r="M31" s="9"/>
      <c r="N31" s="9"/>
      <c r="O31" s="9"/>
      <c r="P31" s="9"/>
      <c r="Q31" s="9"/>
      <c r="R31" s="9"/>
      <c r="S31" s="9"/>
      <c r="T31" s="9"/>
      <c r="U31" s="9"/>
      <c r="V31" s="9"/>
      <c r="W31" s="9"/>
      <c r="X31" s="9"/>
      <c r="Y31" s="9"/>
      <c r="Z31" s="9"/>
    </row>
    <row r="32" spans="1:26" ht="15.6" x14ac:dyDescent="0.3">
      <c r="A32" s="58" t="s">
        <v>221</v>
      </c>
      <c r="B32" s="55"/>
      <c r="C32" s="55"/>
      <c r="D32" s="55"/>
      <c r="E32" s="55"/>
      <c r="F32" s="56"/>
      <c r="G32" s="49">
        <f>G31*10%</f>
        <v>1909200</v>
      </c>
      <c r="H32" s="9"/>
      <c r="I32" s="9"/>
      <c r="J32" s="9"/>
      <c r="K32" s="9"/>
      <c r="L32" s="9"/>
      <c r="M32" s="9"/>
      <c r="N32" s="9"/>
      <c r="O32" s="9"/>
      <c r="P32" s="9"/>
      <c r="Q32" s="9"/>
      <c r="R32" s="9"/>
      <c r="S32" s="9"/>
      <c r="T32" s="9"/>
      <c r="U32" s="9"/>
      <c r="V32" s="9"/>
      <c r="W32" s="9"/>
      <c r="X32" s="9"/>
      <c r="Y32" s="9"/>
      <c r="Z32" s="9"/>
    </row>
    <row r="33" spans="1:26" ht="15.6" x14ac:dyDescent="0.3">
      <c r="A33" s="59" t="s">
        <v>228</v>
      </c>
      <c r="B33" s="55"/>
      <c r="C33" s="55"/>
      <c r="D33" s="55"/>
      <c r="E33" s="55"/>
      <c r="F33" s="56"/>
      <c r="G33" s="50">
        <f>G31+G32</f>
        <v>21001200</v>
      </c>
      <c r="H33" s="9"/>
      <c r="I33" s="9"/>
      <c r="J33" s="9"/>
      <c r="K33" s="9"/>
      <c r="L33" s="9"/>
      <c r="M33" s="9"/>
      <c r="N33" s="9"/>
      <c r="O33" s="9"/>
      <c r="P33" s="9"/>
      <c r="Q33" s="9"/>
      <c r="R33" s="9"/>
      <c r="S33" s="9"/>
      <c r="T33" s="9"/>
      <c r="U33" s="9"/>
      <c r="V33" s="9"/>
      <c r="W33" s="9"/>
      <c r="X33" s="9"/>
      <c r="Y33" s="9"/>
      <c r="Z33" s="9"/>
    </row>
    <row r="34" spans="1:26" ht="15.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6"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6"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6"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6"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6"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6"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6"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6"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6"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6"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6"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6"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6"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6"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6"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6"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6"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6"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6"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6"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6"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6"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6"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6"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6"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6"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6"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6"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6"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6"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6"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6"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6"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6"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6"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6"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6"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6"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6"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6"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6"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6"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6"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6"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6"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6"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6"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6"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6"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6"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6"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6"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6"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6"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6"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6"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6"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6"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6"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6"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6"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6"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6"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6"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6"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6"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6"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6"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6"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6"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6"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6"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6"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6"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6"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6"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6"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6"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6"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6"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6"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6"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6"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6"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6"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6"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6"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6"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6"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6"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6"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6"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6"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6"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6"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6"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6"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6"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6"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6"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6"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6"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6"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6"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6"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6"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6"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6"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6"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6"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6"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6"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6"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6"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6"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6"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6"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6"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6"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6"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6"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6"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6"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6"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6"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6"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6"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6"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6"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6"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6"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6"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6"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6"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6"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6"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6"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6"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6"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6"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6"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6"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6"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6"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6"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6"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6"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6"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6"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6"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6"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6"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6"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6"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6"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6"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6"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6"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6"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6"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6"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6"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6"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6"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6"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6"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6"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6"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6"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6"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6"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6"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6"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6"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6"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6"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6"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6"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6"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6"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6"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6"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6"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6"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6"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6"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6"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6"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6"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6"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6"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6"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6"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6"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6"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6"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6"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6"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6"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6"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6"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6"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6"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6"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6"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6"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6"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6"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6"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6"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6"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6"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6"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6"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6"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6"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6"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6"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6"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6"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6"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6"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6"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6"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6"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6"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6"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6"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6"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6"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6"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6"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6"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6"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6"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6"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6"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6"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6"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6"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6"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6"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6"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6"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6"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6"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6"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6"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6"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6"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6"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6"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6"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6"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6"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6"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6"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6"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6"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6"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6"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6"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6"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6"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6"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6"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6"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6"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6"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6"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6"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6"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6"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6"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6"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6"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6"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6"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6"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6"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6"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6"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6"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6"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6"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6"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6"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6"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6"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6"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6"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6"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6"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6"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6"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6"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6"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6"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6"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6"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6"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6"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6"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6"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6"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6"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6"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6"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6"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6"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6"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6"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6"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6"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6"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6"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6"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6"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6"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6"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6"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6"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6"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6"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6"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6"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6"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6"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6"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6"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6"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6"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6"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6"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6"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6"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6"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6"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6"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6"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6"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6"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6"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6"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6"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6"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6"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6"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6"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6"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6"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6"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6"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6"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6"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6"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6"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6"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6"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6"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6"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6"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6"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6"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6"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6"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6"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6"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6"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6"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6"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6"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6"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6"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6"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6"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6"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6"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6"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6"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6"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6"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6"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6"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6"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6"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6"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6"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6"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6"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6"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6"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6"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6"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6"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6"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6"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6"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6"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6"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6"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6"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6"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6"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6"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6"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6"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6"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6"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6"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6"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6"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6"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6"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6"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6"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6"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6"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6"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6"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6"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6"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6"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6"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6"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6"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6"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6"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6"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6"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6"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6"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6"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6"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6"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6"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6"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6"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6"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6"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6"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6"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6"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6"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6"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6"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6"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6"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6"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6"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6"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6"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6"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6"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6"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6"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6"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6"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6"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6"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6"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6"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6"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6"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6"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6"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6"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6"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6"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6"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6"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6"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6"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6"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6"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6"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6"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6"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6"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6"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6"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6"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6"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6"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6"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6"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6"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6"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6"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6"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6"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6"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6"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6"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6"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6"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6"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6"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6"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6"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6"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6"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6"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6"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6"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6"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6"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6"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6"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6"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6"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6"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6"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6"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6"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6"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6"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6"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6"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6"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6"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6"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6"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6"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6"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6"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6"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6"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6"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6"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6"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6"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6"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6"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6"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6"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6"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6"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6"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6"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6"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6"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6"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6"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6"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6"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6"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6"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6"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6"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6"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6"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6"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6"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6"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6"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6"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6"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6"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6"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6"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6"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6"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6"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6"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6"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6"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6"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6"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6"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6"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6"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6"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6"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6"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6"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6"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6"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6"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6"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6"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6"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6"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6"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6"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6"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6"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6"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6"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6"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6"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6"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6"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6"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6"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6"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6"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6"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6"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6"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6"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6"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6"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6"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6"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6"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6"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6"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6"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6"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6"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6"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6"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6"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6"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6"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6"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6"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6"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6"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6"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6"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6"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6"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6"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6"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6"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6"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6"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6"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6"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6"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6"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6"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6"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6"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6"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6"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6"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6"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6"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6"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6"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6"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6"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6"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6"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6"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6"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6"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6"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6"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6"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6"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6"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6"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6"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6"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6"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6"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6"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6"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6"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6"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6"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6"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6"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6"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6"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6"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6"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6"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6"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6"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6"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6"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6"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6"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6"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6"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6"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6"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6"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6"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6"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6"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6"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6"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6"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6"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6"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6"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6"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6"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6"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6"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6"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6"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6"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6"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6"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6"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6"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6"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6"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6"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6"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6"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6"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6"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6"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6"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6"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6"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6"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6"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6"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6"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6"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6"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6"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6"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6"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6"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6"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6"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6"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6"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6"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6"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6"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6"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6"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6"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6"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6"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6"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6"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6"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6"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6"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6"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6"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6"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6"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6"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6"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6"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6"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6"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6"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6"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6"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6"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6"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6"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6"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6"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6"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6"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6"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6"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6"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6"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6"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6"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6"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6"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6"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6"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6"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6"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6"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6"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6"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6"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6"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6"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6"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6"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6"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6"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6"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6"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6"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6"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6"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6"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6"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6"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6"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6"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6"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6"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6"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6"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6"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6"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6"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6"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6"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6"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6"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6"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6"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6"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6"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6"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6"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6"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6"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6"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6"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6"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6"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6"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6"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6"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6"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6"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6"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6"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6"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6"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6"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6"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6"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6"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6"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6"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6"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6"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6"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6"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6"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6"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6"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6"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6"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6"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6"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6"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6"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6"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6"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6"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6"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6"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6"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6"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6"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6"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6"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6"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6"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6"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6"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6"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6"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6"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6"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6"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6"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6"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6"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6"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6"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6"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6"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6"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6"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6"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6"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6"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6"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6"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6"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6"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6"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6"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6"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6"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6"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6"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6"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6"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6"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6"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6"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6"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6"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6"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6"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6"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6"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6"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6"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6"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6"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6"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6"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6"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6"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6"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6"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6"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6"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6"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6"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6"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6"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6"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6"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6"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6"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6"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6"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6"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6"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6"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6"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6"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6"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6"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6"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6"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6"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6"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6"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6"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6" x14ac:dyDescent="0.3">
      <c r="H966" s="9"/>
      <c r="I966" s="9"/>
      <c r="J966" s="9"/>
      <c r="K966" s="9"/>
      <c r="L966" s="9"/>
      <c r="M966" s="9"/>
      <c r="N966" s="9"/>
      <c r="O966" s="9"/>
      <c r="P966" s="9"/>
      <c r="Q966" s="9"/>
      <c r="R966" s="9"/>
      <c r="S966" s="9"/>
      <c r="T966" s="9"/>
      <c r="U966" s="9"/>
      <c r="V966" s="9"/>
      <c r="W966" s="9"/>
      <c r="X966" s="9"/>
      <c r="Y966" s="9"/>
      <c r="Z966" s="9"/>
    </row>
    <row r="967" spans="1:26" ht="15.6" x14ac:dyDescent="0.3">
      <c r="H967" s="9"/>
      <c r="I967" s="9"/>
      <c r="J967" s="9"/>
      <c r="K967" s="9"/>
      <c r="L967" s="9"/>
      <c r="M967" s="9"/>
      <c r="N967" s="9"/>
      <c r="O967" s="9"/>
      <c r="P967" s="9"/>
      <c r="Q967" s="9"/>
      <c r="R967" s="9"/>
      <c r="S967" s="9"/>
      <c r="T967" s="9"/>
      <c r="U967" s="9"/>
      <c r="V967" s="9"/>
      <c r="W967" s="9"/>
      <c r="X967" s="9"/>
      <c r="Y967" s="9"/>
      <c r="Z967" s="9"/>
    </row>
    <row r="968" spans="1:26" ht="15.6" x14ac:dyDescent="0.3">
      <c r="H968" s="9"/>
      <c r="I968" s="9"/>
      <c r="J968" s="9"/>
      <c r="K968" s="9"/>
      <c r="L968" s="9"/>
      <c r="M968" s="9"/>
      <c r="N968" s="9"/>
      <c r="O968" s="9"/>
      <c r="P968" s="9"/>
      <c r="Q968" s="9"/>
      <c r="R968" s="9"/>
      <c r="S968" s="9"/>
      <c r="T968" s="9"/>
      <c r="U968" s="9"/>
      <c r="V968" s="9"/>
      <c r="W968" s="9"/>
      <c r="X968" s="9"/>
      <c r="Y968" s="9"/>
      <c r="Z968" s="9"/>
    </row>
    <row r="969" spans="1:26" ht="15.6" x14ac:dyDescent="0.3">
      <c r="H969" s="9"/>
      <c r="I969" s="9"/>
      <c r="J969" s="9"/>
      <c r="K969" s="9"/>
      <c r="L969" s="9"/>
      <c r="M969" s="9"/>
      <c r="N969" s="9"/>
      <c r="O969" s="9"/>
      <c r="P969" s="9"/>
      <c r="Q969" s="9"/>
      <c r="R969" s="9"/>
      <c r="S969" s="9"/>
      <c r="T969" s="9"/>
      <c r="U969" s="9"/>
      <c r="V969" s="9"/>
      <c r="W969" s="9"/>
      <c r="X969" s="9"/>
      <c r="Y969" s="9"/>
      <c r="Z969" s="9"/>
    </row>
    <row r="970" spans="1:26" ht="15.6" x14ac:dyDescent="0.3">
      <c r="H970" s="9"/>
      <c r="I970" s="9"/>
      <c r="J970" s="9"/>
      <c r="K970" s="9"/>
      <c r="L970" s="9"/>
      <c r="M970" s="9"/>
      <c r="N970" s="9"/>
      <c r="O970" s="9"/>
      <c r="P970" s="9"/>
      <c r="Q970" s="9"/>
      <c r="R970" s="9"/>
      <c r="S970" s="9"/>
      <c r="T970" s="9"/>
      <c r="U970" s="9"/>
      <c r="V970" s="9"/>
      <c r="W970" s="9"/>
      <c r="X970" s="9"/>
      <c r="Y970" s="9"/>
      <c r="Z970" s="9"/>
    </row>
    <row r="971" spans="1:26" ht="15.6" x14ac:dyDescent="0.3">
      <c r="H971" s="9"/>
      <c r="I971" s="9"/>
      <c r="J971" s="9"/>
      <c r="K971" s="9"/>
      <c r="L971" s="9"/>
      <c r="M971" s="9"/>
      <c r="N971" s="9"/>
      <c r="O971" s="9"/>
      <c r="P971" s="9"/>
      <c r="Q971" s="9"/>
      <c r="R971" s="9"/>
      <c r="S971" s="9"/>
      <c r="T971" s="9"/>
      <c r="U971" s="9"/>
      <c r="V971" s="9"/>
      <c r="W971" s="9"/>
      <c r="X971" s="9"/>
      <c r="Y971" s="9"/>
      <c r="Z971" s="9"/>
    </row>
    <row r="972" spans="1:26" ht="15.6" x14ac:dyDescent="0.3">
      <c r="H972" s="9"/>
      <c r="I972" s="9"/>
      <c r="J972" s="9"/>
      <c r="K972" s="9"/>
      <c r="L972" s="9"/>
      <c r="M972" s="9"/>
      <c r="N972" s="9"/>
      <c r="O972" s="9"/>
      <c r="P972" s="9"/>
      <c r="Q972" s="9"/>
      <c r="R972" s="9"/>
      <c r="S972" s="9"/>
      <c r="T972" s="9"/>
      <c r="U972" s="9"/>
      <c r="V972" s="9"/>
      <c r="W972" s="9"/>
      <c r="X972" s="9"/>
      <c r="Y972" s="9"/>
      <c r="Z972" s="9"/>
    </row>
    <row r="973" spans="1:26" ht="15.6" x14ac:dyDescent="0.3">
      <c r="H973" s="9"/>
      <c r="I973" s="9"/>
      <c r="J973" s="9"/>
      <c r="K973" s="9"/>
      <c r="L973" s="9"/>
      <c r="M973" s="9"/>
      <c r="N973" s="9"/>
      <c r="O973" s="9"/>
      <c r="P973" s="9"/>
      <c r="Q973" s="9"/>
      <c r="R973" s="9"/>
      <c r="S973" s="9"/>
      <c r="T973" s="9"/>
      <c r="U973" s="9"/>
      <c r="V973" s="9"/>
      <c r="W973" s="9"/>
      <c r="X973" s="9"/>
      <c r="Y973" s="9"/>
      <c r="Z973" s="9"/>
    </row>
    <row r="974" spans="1:26" ht="15.6" x14ac:dyDescent="0.3">
      <c r="H974" s="9"/>
      <c r="I974" s="9"/>
      <c r="J974" s="9"/>
      <c r="K974" s="9"/>
      <c r="L974" s="9"/>
      <c r="M974" s="9"/>
      <c r="N974" s="9"/>
      <c r="O974" s="9"/>
      <c r="P974" s="9"/>
      <c r="Q974" s="9"/>
      <c r="R974" s="9"/>
      <c r="S974" s="9"/>
      <c r="T974" s="9"/>
      <c r="U974" s="9"/>
      <c r="V974" s="9"/>
      <c r="W974" s="9"/>
      <c r="X974" s="9"/>
      <c r="Y974" s="9"/>
      <c r="Z974" s="9"/>
    </row>
    <row r="975" spans="1:26" ht="15.6" x14ac:dyDescent="0.3">
      <c r="H975" s="9"/>
      <c r="I975" s="9"/>
      <c r="J975" s="9"/>
      <c r="K975" s="9"/>
      <c r="L975" s="9"/>
      <c r="M975" s="9"/>
      <c r="N975" s="9"/>
      <c r="O975" s="9"/>
      <c r="P975" s="9"/>
      <c r="Q975" s="9"/>
      <c r="R975" s="9"/>
      <c r="S975" s="9"/>
      <c r="T975" s="9"/>
      <c r="U975" s="9"/>
      <c r="V975" s="9"/>
      <c r="W975" s="9"/>
      <c r="X975" s="9"/>
      <c r="Y975" s="9"/>
      <c r="Z975" s="9"/>
    </row>
    <row r="976" spans="1:26" ht="15.6" x14ac:dyDescent="0.3">
      <c r="H976" s="9"/>
      <c r="I976" s="9"/>
      <c r="J976" s="9"/>
      <c r="K976" s="9"/>
      <c r="L976" s="9"/>
      <c r="M976" s="9"/>
      <c r="N976" s="9"/>
      <c r="O976" s="9"/>
      <c r="P976" s="9"/>
      <c r="Q976" s="9"/>
      <c r="R976" s="9"/>
      <c r="S976" s="9"/>
      <c r="T976" s="9"/>
      <c r="U976" s="9"/>
      <c r="V976" s="9"/>
      <c r="W976" s="9"/>
      <c r="X976" s="9"/>
      <c r="Y976" s="9"/>
      <c r="Z976" s="9"/>
    </row>
    <row r="977" spans="8:26" ht="15.6" x14ac:dyDescent="0.3">
      <c r="H977" s="9"/>
      <c r="I977" s="9"/>
      <c r="J977" s="9"/>
      <c r="K977" s="9"/>
      <c r="L977" s="9"/>
      <c r="M977" s="9"/>
      <c r="N977" s="9"/>
      <c r="O977" s="9"/>
      <c r="P977" s="9"/>
      <c r="Q977" s="9"/>
      <c r="R977" s="9"/>
      <c r="S977" s="9"/>
      <c r="T977" s="9"/>
      <c r="U977" s="9"/>
      <c r="V977" s="9"/>
      <c r="W977" s="9"/>
      <c r="X977" s="9"/>
      <c r="Y977" s="9"/>
      <c r="Z977" s="9"/>
    </row>
    <row r="978" spans="8:26" ht="15.6" x14ac:dyDescent="0.3">
      <c r="H978" s="9"/>
      <c r="I978" s="9"/>
      <c r="J978" s="9"/>
      <c r="K978" s="9"/>
      <c r="L978" s="9"/>
      <c r="M978" s="9"/>
      <c r="N978" s="9"/>
      <c r="O978" s="9"/>
      <c r="P978" s="9"/>
      <c r="Q978" s="9"/>
      <c r="R978" s="9"/>
      <c r="S978" s="9"/>
      <c r="T978" s="9"/>
      <c r="U978" s="9"/>
      <c r="V978" s="9"/>
      <c r="W978" s="9"/>
      <c r="X978" s="9"/>
      <c r="Y978" s="9"/>
      <c r="Z978" s="9"/>
    </row>
    <row r="979" spans="8:26" ht="15.6" x14ac:dyDescent="0.3">
      <c r="H979" s="9"/>
      <c r="I979" s="9"/>
      <c r="J979" s="9"/>
      <c r="K979" s="9"/>
      <c r="L979" s="9"/>
      <c r="M979" s="9"/>
      <c r="N979" s="9"/>
      <c r="O979" s="9"/>
      <c r="P979" s="9"/>
      <c r="Q979" s="9"/>
      <c r="R979" s="9"/>
      <c r="S979" s="9"/>
      <c r="T979" s="9"/>
      <c r="U979" s="9"/>
      <c r="V979" s="9"/>
      <c r="W979" s="9"/>
      <c r="X979" s="9"/>
      <c r="Y979" s="9"/>
      <c r="Z979" s="9"/>
    </row>
    <row r="980" spans="8:26" ht="15.6" x14ac:dyDescent="0.3">
      <c r="H980" s="9"/>
      <c r="I980" s="9"/>
      <c r="J980" s="9"/>
      <c r="K980" s="9"/>
      <c r="L980" s="9"/>
      <c r="M980" s="9"/>
      <c r="N980" s="9"/>
      <c r="O980" s="9"/>
      <c r="P980" s="9"/>
      <c r="Q980" s="9"/>
      <c r="R980" s="9"/>
      <c r="S980" s="9"/>
      <c r="T980" s="9"/>
      <c r="U980" s="9"/>
      <c r="V980" s="9"/>
      <c r="W980" s="9"/>
      <c r="X980" s="9"/>
      <c r="Y980" s="9"/>
      <c r="Z980" s="9"/>
    </row>
    <row r="981" spans="8:26" ht="15.6" x14ac:dyDescent="0.3">
      <c r="H981" s="9"/>
      <c r="I981" s="9"/>
      <c r="J981" s="9"/>
      <c r="K981" s="9"/>
      <c r="L981" s="9"/>
      <c r="M981" s="9"/>
      <c r="N981" s="9"/>
      <c r="O981" s="9"/>
      <c r="P981" s="9"/>
      <c r="Q981" s="9"/>
      <c r="R981" s="9"/>
      <c r="S981" s="9"/>
      <c r="T981" s="9"/>
      <c r="U981" s="9"/>
      <c r="V981" s="9"/>
      <c r="W981" s="9"/>
      <c r="X981" s="9"/>
      <c r="Y981" s="9"/>
      <c r="Z981" s="9"/>
    </row>
    <row r="982" spans="8:26" ht="15.6" x14ac:dyDescent="0.3">
      <c r="H982" s="9"/>
      <c r="I982" s="9"/>
      <c r="J982" s="9"/>
      <c r="K982" s="9"/>
      <c r="L982" s="9"/>
      <c r="M982" s="9"/>
      <c r="N982" s="9"/>
      <c r="O982" s="9"/>
      <c r="P982" s="9"/>
      <c r="Q982" s="9"/>
      <c r="R982" s="9"/>
      <c r="S982" s="9"/>
      <c r="T982" s="9"/>
      <c r="U982" s="9"/>
      <c r="V982" s="9"/>
      <c r="W982" s="9"/>
      <c r="X982" s="9"/>
      <c r="Y982" s="9"/>
      <c r="Z982" s="9"/>
    </row>
    <row r="983" spans="8:26" ht="15.6" x14ac:dyDescent="0.3">
      <c r="H983" s="9"/>
      <c r="I983" s="9"/>
      <c r="J983" s="9"/>
      <c r="K983" s="9"/>
      <c r="L983" s="9"/>
      <c r="M983" s="9"/>
      <c r="N983" s="9"/>
      <c r="O983" s="9"/>
      <c r="P983" s="9"/>
      <c r="Q983" s="9"/>
      <c r="R983" s="9"/>
      <c r="S983" s="9"/>
      <c r="T983" s="9"/>
      <c r="U983" s="9"/>
      <c r="V983" s="9"/>
      <c r="W983" s="9"/>
      <c r="X983" s="9"/>
      <c r="Y983" s="9"/>
      <c r="Z983" s="9"/>
    </row>
    <row r="984" spans="8:26" ht="15.6" x14ac:dyDescent="0.3">
      <c r="H984" s="9"/>
      <c r="I984" s="9"/>
      <c r="J984" s="9"/>
      <c r="K984" s="9"/>
      <c r="L984" s="9"/>
      <c r="M984" s="9"/>
      <c r="N984" s="9"/>
      <c r="O984" s="9"/>
      <c r="P984" s="9"/>
      <c r="Q984" s="9"/>
      <c r="R984" s="9"/>
      <c r="S984" s="9"/>
      <c r="T984" s="9"/>
      <c r="U984" s="9"/>
      <c r="V984" s="9"/>
      <c r="W984" s="9"/>
      <c r="X984" s="9"/>
      <c r="Y984" s="9"/>
      <c r="Z984" s="9"/>
    </row>
    <row r="985" spans="8:26" ht="15.6" x14ac:dyDescent="0.3">
      <c r="H985" s="9"/>
      <c r="I985" s="9"/>
      <c r="J985" s="9"/>
      <c r="K985" s="9"/>
      <c r="L985" s="9"/>
      <c r="M985" s="9"/>
      <c r="N985" s="9"/>
      <c r="O985" s="9"/>
      <c r="P985" s="9"/>
      <c r="Q985" s="9"/>
      <c r="R985" s="9"/>
      <c r="S985" s="9"/>
      <c r="T985" s="9"/>
      <c r="U985" s="9"/>
      <c r="V985" s="9"/>
      <c r="W985" s="9"/>
      <c r="X985" s="9"/>
      <c r="Y985" s="9"/>
      <c r="Z985" s="9"/>
    </row>
    <row r="986" spans="8:26" ht="15.6" x14ac:dyDescent="0.3">
      <c r="H986" s="9"/>
      <c r="I986" s="9"/>
      <c r="J986" s="9"/>
      <c r="K986" s="9"/>
      <c r="L986" s="9"/>
      <c r="M986" s="9"/>
      <c r="N986" s="9"/>
      <c r="O986" s="9"/>
      <c r="P986" s="9"/>
      <c r="Q986" s="9"/>
      <c r="R986" s="9"/>
      <c r="S986" s="9"/>
      <c r="T986" s="9"/>
      <c r="U986" s="9"/>
      <c r="V986" s="9"/>
      <c r="W986" s="9"/>
      <c r="X986" s="9"/>
      <c r="Y986" s="9"/>
      <c r="Z986" s="9"/>
    </row>
    <row r="987" spans="8:26" ht="15.6" x14ac:dyDescent="0.3">
      <c r="H987" s="9"/>
      <c r="I987" s="9"/>
      <c r="J987" s="9"/>
      <c r="K987" s="9"/>
      <c r="L987" s="9"/>
      <c r="M987" s="9"/>
      <c r="N987" s="9"/>
      <c r="O987" s="9"/>
      <c r="P987" s="9"/>
      <c r="Q987" s="9"/>
      <c r="R987" s="9"/>
      <c r="S987" s="9"/>
      <c r="T987" s="9"/>
      <c r="U987" s="9"/>
      <c r="V987" s="9"/>
      <c r="W987" s="9"/>
      <c r="X987" s="9"/>
      <c r="Y987" s="9"/>
      <c r="Z987" s="9"/>
    </row>
    <row r="988" spans="8:26" ht="15.6" x14ac:dyDescent="0.3">
      <c r="H988" s="9"/>
      <c r="I988" s="9"/>
      <c r="J988" s="9"/>
      <c r="K988" s="9"/>
      <c r="L988" s="9"/>
      <c r="M988" s="9"/>
      <c r="N988" s="9"/>
      <c r="O988" s="9"/>
      <c r="P988" s="9"/>
      <c r="Q988" s="9"/>
      <c r="R988" s="9"/>
      <c r="S988" s="9"/>
      <c r="T988" s="9"/>
      <c r="U988" s="9"/>
      <c r="V988" s="9"/>
      <c r="W988" s="9"/>
      <c r="X988" s="9"/>
      <c r="Y988" s="9"/>
      <c r="Z988" s="9"/>
    </row>
    <row r="989" spans="8:26" ht="15.6" x14ac:dyDescent="0.3">
      <c r="H989" s="9"/>
      <c r="I989" s="9"/>
      <c r="J989" s="9"/>
      <c r="K989" s="9"/>
      <c r="L989" s="9"/>
      <c r="M989" s="9"/>
      <c r="N989" s="9"/>
      <c r="O989" s="9"/>
      <c r="P989" s="9"/>
      <c r="Q989" s="9"/>
      <c r="R989" s="9"/>
      <c r="S989" s="9"/>
      <c r="T989" s="9"/>
      <c r="U989" s="9"/>
      <c r="V989" s="9"/>
      <c r="W989" s="9"/>
      <c r="X989" s="9"/>
      <c r="Y989" s="9"/>
      <c r="Z989" s="9"/>
    </row>
    <row r="990" spans="8:26" ht="15.6" x14ac:dyDescent="0.3">
      <c r="H990" s="9"/>
      <c r="I990" s="9"/>
      <c r="J990" s="9"/>
      <c r="K990" s="9"/>
      <c r="L990" s="9"/>
      <c r="M990" s="9"/>
      <c r="N990" s="9"/>
      <c r="O990" s="9"/>
      <c r="P990" s="9"/>
      <c r="Q990" s="9"/>
      <c r="R990" s="9"/>
      <c r="S990" s="9"/>
      <c r="T990" s="9"/>
      <c r="U990" s="9"/>
      <c r="V990" s="9"/>
      <c r="W990" s="9"/>
      <c r="X990" s="9"/>
      <c r="Y990" s="9"/>
      <c r="Z990" s="9"/>
    </row>
    <row r="991" spans="8:26" ht="15.6" x14ac:dyDescent="0.3">
      <c r="H991" s="9"/>
      <c r="I991" s="9"/>
      <c r="J991" s="9"/>
      <c r="K991" s="9"/>
      <c r="L991" s="9"/>
      <c r="M991" s="9"/>
      <c r="N991" s="9"/>
      <c r="O991" s="9"/>
      <c r="P991" s="9"/>
      <c r="Q991" s="9"/>
      <c r="R991" s="9"/>
      <c r="S991" s="9"/>
      <c r="T991" s="9"/>
      <c r="U991" s="9"/>
      <c r="V991" s="9"/>
      <c r="W991" s="9"/>
      <c r="X991" s="9"/>
      <c r="Y991" s="9"/>
      <c r="Z991" s="9"/>
    </row>
    <row r="992" spans="8:26" ht="15.6" x14ac:dyDescent="0.3">
      <c r="H992" s="9"/>
      <c r="I992" s="9"/>
      <c r="J992" s="9"/>
      <c r="K992" s="9"/>
      <c r="L992" s="9"/>
      <c r="M992" s="9"/>
      <c r="N992" s="9"/>
      <c r="O992" s="9"/>
      <c r="P992" s="9"/>
      <c r="Q992" s="9"/>
      <c r="R992" s="9"/>
      <c r="S992" s="9"/>
      <c r="T992" s="9"/>
      <c r="U992" s="9"/>
      <c r="V992" s="9"/>
      <c r="W992" s="9"/>
      <c r="X992" s="9"/>
      <c r="Y992" s="9"/>
      <c r="Z992" s="9"/>
    </row>
    <row r="993" spans="8:26" ht="15.6" x14ac:dyDescent="0.3">
      <c r="H993" s="9"/>
      <c r="I993" s="9"/>
      <c r="J993" s="9"/>
      <c r="K993" s="9"/>
      <c r="L993" s="9"/>
      <c r="M993" s="9"/>
      <c r="N993" s="9"/>
      <c r="O993" s="9"/>
      <c r="P993" s="9"/>
      <c r="Q993" s="9"/>
      <c r="R993" s="9"/>
      <c r="S993" s="9"/>
      <c r="T993" s="9"/>
      <c r="U993" s="9"/>
      <c r="V993" s="9"/>
      <c r="W993" s="9"/>
      <c r="X993" s="9"/>
      <c r="Y993" s="9"/>
      <c r="Z993" s="9"/>
    </row>
    <row r="994" spans="8:26" ht="15.6" x14ac:dyDescent="0.3">
      <c r="H994" s="9"/>
      <c r="I994" s="9"/>
      <c r="J994" s="9"/>
      <c r="K994" s="9"/>
      <c r="L994" s="9"/>
      <c r="M994" s="9"/>
      <c r="N994" s="9"/>
      <c r="O994" s="9"/>
      <c r="P994" s="9"/>
      <c r="Q994" s="9"/>
      <c r="R994" s="9"/>
      <c r="S994" s="9"/>
      <c r="T994" s="9"/>
      <c r="U994" s="9"/>
      <c r="V994" s="9"/>
      <c r="W994" s="9"/>
      <c r="X994" s="9"/>
      <c r="Y994" s="9"/>
      <c r="Z994" s="9"/>
    </row>
    <row r="995" spans="8:26" ht="15.6" x14ac:dyDescent="0.3">
      <c r="H995" s="9"/>
      <c r="I995" s="9"/>
      <c r="J995" s="9"/>
      <c r="K995" s="9"/>
      <c r="L995" s="9"/>
      <c r="M995" s="9"/>
      <c r="N995" s="9"/>
      <c r="O995" s="9"/>
      <c r="P995" s="9"/>
      <c r="Q995" s="9"/>
      <c r="R995" s="9"/>
      <c r="S995" s="9"/>
      <c r="T995" s="9"/>
      <c r="U995" s="9"/>
      <c r="V995" s="9"/>
      <c r="W995" s="9"/>
      <c r="X995" s="9"/>
      <c r="Y995" s="9"/>
      <c r="Z995" s="9"/>
    </row>
    <row r="996" spans="8:26" ht="15.6" x14ac:dyDescent="0.3">
      <c r="H996" s="9"/>
      <c r="I996" s="9"/>
      <c r="J996" s="9"/>
      <c r="K996" s="9"/>
      <c r="L996" s="9"/>
      <c r="M996" s="9"/>
      <c r="N996" s="9"/>
      <c r="O996" s="9"/>
      <c r="P996" s="9"/>
      <c r="Q996" s="9"/>
      <c r="R996" s="9"/>
      <c r="S996" s="9"/>
      <c r="T996" s="9"/>
      <c r="U996" s="9"/>
      <c r="V996" s="9"/>
      <c r="W996" s="9"/>
      <c r="X996" s="9"/>
      <c r="Y996" s="9"/>
      <c r="Z996" s="9"/>
    </row>
    <row r="997" spans="8:26" ht="15.6" x14ac:dyDescent="0.3">
      <c r="H997" s="9"/>
      <c r="I997" s="9"/>
      <c r="J997" s="9"/>
      <c r="K997" s="9"/>
      <c r="L997" s="9"/>
      <c r="M997" s="9"/>
      <c r="N997" s="9"/>
      <c r="O997" s="9"/>
      <c r="P997" s="9"/>
      <c r="Q997" s="9"/>
      <c r="R997" s="9"/>
      <c r="S997" s="9"/>
      <c r="T997" s="9"/>
      <c r="U997" s="9"/>
      <c r="V997" s="9"/>
      <c r="W997" s="9"/>
      <c r="X997" s="9"/>
      <c r="Y997" s="9"/>
      <c r="Z997" s="9"/>
    </row>
    <row r="998" spans="8:26" ht="15.6" x14ac:dyDescent="0.3">
      <c r="H998" s="9"/>
      <c r="I998" s="9"/>
      <c r="J998" s="9"/>
      <c r="K998" s="9"/>
      <c r="L998" s="9"/>
      <c r="M998" s="9"/>
      <c r="N998" s="9"/>
      <c r="O998" s="9"/>
      <c r="P998" s="9"/>
      <c r="Q998" s="9"/>
      <c r="R998" s="9"/>
      <c r="S998" s="9"/>
      <c r="T998" s="9"/>
      <c r="U998" s="9"/>
      <c r="V998" s="9"/>
      <c r="W998" s="9"/>
      <c r="X998" s="9"/>
      <c r="Y998" s="9"/>
      <c r="Z998" s="9"/>
    </row>
    <row r="999" spans="8:26" ht="15.6" x14ac:dyDescent="0.3">
      <c r="H999" s="9"/>
      <c r="I999" s="9"/>
      <c r="J999" s="9"/>
      <c r="K999" s="9"/>
      <c r="L999" s="9"/>
      <c r="M999" s="9"/>
      <c r="N999" s="9"/>
      <c r="O999" s="9"/>
      <c r="P999" s="9"/>
      <c r="Q999" s="9"/>
      <c r="R999" s="9"/>
      <c r="S999" s="9"/>
      <c r="T999" s="9"/>
      <c r="U999" s="9"/>
      <c r="V999" s="9"/>
      <c r="W999" s="9"/>
      <c r="X999" s="9"/>
      <c r="Y999" s="9"/>
      <c r="Z999" s="9"/>
    </row>
    <row r="1000" spans="8:26" ht="15.6" x14ac:dyDescent="0.3">
      <c r="H1000" s="9"/>
      <c r="I1000" s="9"/>
      <c r="J1000" s="9"/>
      <c r="K1000" s="9"/>
      <c r="L1000" s="9"/>
      <c r="M1000" s="9"/>
      <c r="N1000" s="9"/>
      <c r="O1000" s="9"/>
      <c r="P1000" s="9"/>
      <c r="Q1000" s="9"/>
      <c r="R1000" s="9"/>
      <c r="S1000" s="9"/>
      <c r="T1000" s="9"/>
      <c r="U1000" s="9"/>
      <c r="V1000" s="9"/>
      <c r="W1000" s="9"/>
      <c r="X1000" s="9"/>
      <c r="Y1000" s="9"/>
      <c r="Z1000" s="9"/>
    </row>
  </sheetData>
  <mergeCells count="15">
    <mergeCell ref="A31:F31"/>
    <mergeCell ref="A32:F32"/>
    <mergeCell ref="A33:F33"/>
    <mergeCell ref="A1:G1"/>
    <mergeCell ref="A2:G2"/>
    <mergeCell ref="A4:A5"/>
    <mergeCell ref="B4:B5"/>
    <mergeCell ref="C4:E4"/>
    <mergeCell ref="F4:G4"/>
    <mergeCell ref="A6:G6"/>
    <mergeCell ref="A20:F20"/>
    <mergeCell ref="A21:G21"/>
    <mergeCell ref="A25:F25"/>
    <mergeCell ref="A26:G26"/>
    <mergeCell ref="A29:F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9"/>
  <sheetViews>
    <sheetView workbookViewId="0"/>
  </sheetViews>
  <sheetFormatPr defaultColWidth="12.6640625" defaultRowHeight="15.75" customHeight="1" x14ac:dyDescent="0.25"/>
  <cols>
    <col min="1" max="1" width="5.77734375" customWidth="1"/>
    <col min="2" max="2" width="25.44140625" customWidth="1"/>
    <col min="3" max="3" width="63.6640625" customWidth="1"/>
    <col min="4" max="4" width="66.77734375" customWidth="1"/>
  </cols>
  <sheetData>
    <row r="1" spans="1:7" ht="15.75" customHeight="1" x14ac:dyDescent="0.3">
      <c r="B1" s="3" t="s">
        <v>6</v>
      </c>
      <c r="C1" s="3"/>
    </row>
    <row r="2" spans="1:7" ht="15.75" customHeight="1" x14ac:dyDescent="0.3">
      <c r="B2" s="3" t="s">
        <v>11</v>
      </c>
      <c r="C2" s="3"/>
    </row>
    <row r="3" spans="1:7" x14ac:dyDescent="0.25">
      <c r="C3" s="2"/>
    </row>
    <row r="4" spans="1:7" ht="15.75" customHeight="1" x14ac:dyDescent="0.3">
      <c r="A4" s="8"/>
      <c r="B4" s="10" t="s">
        <v>13</v>
      </c>
      <c r="C4" s="10" t="s">
        <v>15</v>
      </c>
      <c r="D4" s="10" t="s">
        <v>17</v>
      </c>
      <c r="G4" s="2" t="s">
        <v>18</v>
      </c>
    </row>
    <row r="5" spans="1:7" x14ac:dyDescent="0.25">
      <c r="A5" s="13"/>
      <c r="B5" s="51" t="s">
        <v>19</v>
      </c>
      <c r="C5" s="17" t="s">
        <v>25</v>
      </c>
      <c r="D5" s="17" t="s">
        <v>27</v>
      </c>
      <c r="G5" s="2" t="s">
        <v>28</v>
      </c>
    </row>
    <row r="6" spans="1:7" x14ac:dyDescent="0.25">
      <c r="A6" s="13"/>
      <c r="B6" s="52"/>
      <c r="C6" s="17" t="s">
        <v>31</v>
      </c>
      <c r="D6" s="17" t="s">
        <v>32</v>
      </c>
      <c r="G6" s="2" t="s">
        <v>34</v>
      </c>
    </row>
    <row r="7" spans="1:7" x14ac:dyDescent="0.25">
      <c r="A7" s="13"/>
      <c r="B7" s="51" t="s">
        <v>36</v>
      </c>
      <c r="C7" s="17" t="s">
        <v>38</v>
      </c>
      <c r="D7" s="17" t="s">
        <v>39</v>
      </c>
    </row>
    <row r="8" spans="1:7" x14ac:dyDescent="0.25">
      <c r="A8" s="13"/>
      <c r="B8" s="53"/>
      <c r="C8" s="17" t="s">
        <v>40</v>
      </c>
      <c r="D8" s="17" t="s">
        <v>41</v>
      </c>
      <c r="G8" s="2" t="s">
        <v>42</v>
      </c>
    </row>
    <row r="9" spans="1:7" x14ac:dyDescent="0.25">
      <c r="A9" s="13"/>
      <c r="B9" s="53"/>
      <c r="C9" s="17" t="s">
        <v>44</v>
      </c>
      <c r="D9" s="17" t="s">
        <v>45</v>
      </c>
      <c r="G9" s="2" t="s">
        <v>46</v>
      </c>
    </row>
    <row r="10" spans="1:7" x14ac:dyDescent="0.25">
      <c r="A10" s="13"/>
      <c r="B10" s="52"/>
      <c r="C10" s="17" t="s">
        <v>49</v>
      </c>
      <c r="D10" s="17" t="s">
        <v>51</v>
      </c>
      <c r="G10" s="2" t="s">
        <v>52</v>
      </c>
    </row>
    <row r="11" spans="1:7" x14ac:dyDescent="0.25">
      <c r="A11" s="13"/>
      <c r="B11" s="51" t="s">
        <v>53</v>
      </c>
      <c r="C11" s="17" t="s">
        <v>55</v>
      </c>
      <c r="D11" s="17" t="s">
        <v>56</v>
      </c>
      <c r="G11" s="2" t="s">
        <v>58</v>
      </c>
    </row>
    <row r="12" spans="1:7" x14ac:dyDescent="0.25">
      <c r="A12" s="13"/>
      <c r="B12" s="53"/>
      <c r="C12" s="21" t="s">
        <v>59</v>
      </c>
      <c r="D12" s="21" t="s">
        <v>60</v>
      </c>
    </row>
    <row r="13" spans="1:7" x14ac:dyDescent="0.25">
      <c r="A13" s="13"/>
      <c r="B13" s="52"/>
      <c r="C13" s="17" t="s">
        <v>62</v>
      </c>
      <c r="D13" s="17" t="s">
        <v>63</v>
      </c>
      <c r="G13" s="2" t="s">
        <v>64</v>
      </c>
    </row>
    <row r="14" spans="1:7" x14ac:dyDescent="0.25">
      <c r="A14" s="13"/>
      <c r="B14" s="51" t="s">
        <v>65</v>
      </c>
      <c r="C14" s="17" t="s">
        <v>68</v>
      </c>
      <c r="D14" s="17" t="s">
        <v>69</v>
      </c>
      <c r="G14" s="2" t="s">
        <v>70</v>
      </c>
    </row>
    <row r="15" spans="1:7" x14ac:dyDescent="0.25">
      <c r="A15" s="13"/>
      <c r="B15" s="53"/>
      <c r="C15" s="17" t="s">
        <v>71</v>
      </c>
      <c r="D15" s="17" t="s">
        <v>72</v>
      </c>
    </row>
    <row r="16" spans="1:7" x14ac:dyDescent="0.25">
      <c r="A16" s="13"/>
      <c r="B16" s="53"/>
      <c r="C16" s="17" t="s">
        <v>73</v>
      </c>
      <c r="D16" s="17" t="s">
        <v>74</v>
      </c>
    </row>
    <row r="17" spans="1:4" x14ac:dyDescent="0.25">
      <c r="A17" s="13"/>
      <c r="B17" s="52"/>
      <c r="C17" s="17" t="s">
        <v>75</v>
      </c>
      <c r="D17" s="17" t="s">
        <v>76</v>
      </c>
    </row>
    <row r="18" spans="1:4" x14ac:dyDescent="0.25">
      <c r="A18" s="13"/>
      <c r="B18" s="51" t="s">
        <v>77</v>
      </c>
      <c r="C18" s="17" t="s">
        <v>78</v>
      </c>
      <c r="D18" s="17" t="s">
        <v>79</v>
      </c>
    </row>
    <row r="19" spans="1:4" x14ac:dyDescent="0.25">
      <c r="A19" s="13"/>
      <c r="B19" s="53"/>
      <c r="C19" s="21" t="s">
        <v>80</v>
      </c>
      <c r="D19" s="21" t="s">
        <v>81</v>
      </c>
    </row>
    <row r="20" spans="1:4" x14ac:dyDescent="0.25">
      <c r="A20" s="13"/>
      <c r="B20" s="52"/>
      <c r="C20" s="17" t="s">
        <v>82</v>
      </c>
      <c r="D20" s="17" t="s">
        <v>83</v>
      </c>
    </row>
    <row r="21" spans="1:4" x14ac:dyDescent="0.25">
      <c r="A21" s="13"/>
      <c r="B21" s="51" t="s">
        <v>84</v>
      </c>
      <c r="C21" s="17" t="s">
        <v>85</v>
      </c>
      <c r="D21" s="17" t="s">
        <v>86</v>
      </c>
    </row>
    <row r="22" spans="1:4" x14ac:dyDescent="0.25">
      <c r="A22" s="13"/>
      <c r="B22" s="52"/>
      <c r="C22" s="17" t="s">
        <v>87</v>
      </c>
      <c r="D22" s="17" t="s">
        <v>88</v>
      </c>
    </row>
    <row r="23" spans="1:4" x14ac:dyDescent="0.25">
      <c r="A23" s="13"/>
      <c r="B23" s="51" t="s">
        <v>89</v>
      </c>
      <c r="C23" s="17" t="s">
        <v>90</v>
      </c>
      <c r="D23" s="17" t="s">
        <v>91</v>
      </c>
    </row>
    <row r="24" spans="1:4" x14ac:dyDescent="0.25">
      <c r="A24" s="13"/>
      <c r="B24" s="52"/>
      <c r="C24" s="17" t="s">
        <v>92</v>
      </c>
      <c r="D24" s="17" t="s">
        <v>93</v>
      </c>
    </row>
    <row r="25" spans="1:4" x14ac:dyDescent="0.25">
      <c r="A25" s="13"/>
      <c r="B25" s="51" t="s">
        <v>94</v>
      </c>
      <c r="C25" s="17" t="s">
        <v>97</v>
      </c>
      <c r="D25" s="17" t="s">
        <v>98</v>
      </c>
    </row>
    <row r="26" spans="1:4" x14ac:dyDescent="0.25">
      <c r="A26" s="13"/>
      <c r="B26" s="53"/>
      <c r="C26" s="17" t="s">
        <v>99</v>
      </c>
      <c r="D26" s="21" t="s">
        <v>100</v>
      </c>
    </row>
    <row r="27" spans="1:4" x14ac:dyDescent="0.25">
      <c r="A27" s="13"/>
      <c r="B27" s="53"/>
      <c r="C27" s="17" t="s">
        <v>101</v>
      </c>
      <c r="D27" s="17" t="s">
        <v>102</v>
      </c>
    </row>
    <row r="28" spans="1:4" x14ac:dyDescent="0.25">
      <c r="A28" s="13"/>
      <c r="B28" s="53"/>
      <c r="C28" s="17" t="s">
        <v>105</v>
      </c>
      <c r="D28" s="17" t="s">
        <v>106</v>
      </c>
    </row>
    <row r="29" spans="1:4" x14ac:dyDescent="0.25">
      <c r="A29" s="13"/>
      <c r="B29" s="52"/>
      <c r="C29" s="17" t="s">
        <v>107</v>
      </c>
      <c r="D29" s="17" t="s">
        <v>109</v>
      </c>
    </row>
  </sheetData>
  <mergeCells count="8">
    <mergeCell ref="B21:B22"/>
    <mergeCell ref="B23:B24"/>
    <mergeCell ref="B25:B29"/>
    <mergeCell ref="B5:B6"/>
    <mergeCell ref="B7:B10"/>
    <mergeCell ref="B11:B13"/>
    <mergeCell ref="B14:B17"/>
    <mergeCell ref="B18: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zoomScale="92" zoomScaleNormal="92" workbookViewId="0">
      <pane ySplit="7" topLeftCell="A22" activePane="bottomLeft" state="frozen"/>
      <selection pane="bottomLeft" activeCell="M27" sqref="M27"/>
    </sheetView>
  </sheetViews>
  <sheetFormatPr defaultColWidth="12.6640625" defaultRowHeight="15.75" customHeight="1" x14ac:dyDescent="0.25"/>
  <cols>
    <col min="1" max="1" width="4.33203125" customWidth="1"/>
    <col min="2" max="2" width="29.6640625" customWidth="1"/>
    <col min="3" max="3" width="24.44140625" customWidth="1"/>
    <col min="4" max="4" width="7.88671875" customWidth="1"/>
    <col min="5" max="6" width="7" customWidth="1"/>
    <col min="7" max="7" width="7.88671875" customWidth="1"/>
    <col min="8" max="8" width="15.77734375" customWidth="1"/>
    <col min="9" max="9" width="15.88671875" customWidth="1"/>
    <col min="10" max="10" width="11.44140625" customWidth="1"/>
    <col min="11" max="17" width="7.6640625" customWidth="1"/>
    <col min="18" max="18" width="57.21875" customWidth="1"/>
    <col min="19" max="26" width="7.6640625" customWidth="1"/>
  </cols>
  <sheetData>
    <row r="1" spans="1:26" ht="15.6" x14ac:dyDescent="0.3">
      <c r="A1" s="69" t="s">
        <v>9</v>
      </c>
      <c r="B1" s="61"/>
      <c r="C1" s="61"/>
      <c r="D1" s="61"/>
      <c r="E1" s="61"/>
      <c r="F1" s="61"/>
      <c r="G1" s="61"/>
      <c r="H1" s="61"/>
      <c r="I1" s="61"/>
      <c r="J1" s="61"/>
      <c r="K1" s="7"/>
      <c r="L1" s="7"/>
      <c r="M1" s="7"/>
      <c r="N1" s="7"/>
      <c r="O1" s="7"/>
      <c r="P1" s="7"/>
      <c r="Q1" s="7"/>
      <c r="R1" s="7"/>
      <c r="S1" s="7"/>
      <c r="T1" s="7"/>
      <c r="U1" s="7"/>
      <c r="V1" s="7"/>
      <c r="W1" s="7"/>
      <c r="X1" s="7"/>
      <c r="Y1" s="7"/>
      <c r="Z1" s="7"/>
    </row>
    <row r="2" spans="1:26" ht="16.2" x14ac:dyDescent="0.35">
      <c r="A2" s="70" t="s">
        <v>14</v>
      </c>
      <c r="B2" s="61"/>
      <c r="C2" s="61"/>
      <c r="D2" s="61"/>
      <c r="E2" s="61"/>
      <c r="F2" s="61"/>
      <c r="G2" s="61"/>
      <c r="H2" s="61"/>
      <c r="I2" s="61"/>
      <c r="J2" s="61"/>
      <c r="K2" s="7"/>
      <c r="L2" s="7"/>
      <c r="M2" s="7"/>
      <c r="N2" s="7"/>
      <c r="O2" s="7"/>
      <c r="P2" s="7"/>
      <c r="Q2" s="7"/>
      <c r="R2" s="7"/>
      <c r="S2" s="7"/>
      <c r="T2" s="7"/>
      <c r="U2" s="7"/>
      <c r="V2" s="11" t="s">
        <v>16</v>
      </c>
      <c r="W2" s="7"/>
      <c r="X2" s="7"/>
      <c r="Y2" s="7"/>
      <c r="Z2" s="7"/>
    </row>
    <row r="3" spans="1:26" ht="15.6" x14ac:dyDescent="0.3">
      <c r="A3" s="7"/>
      <c r="B3" s="7"/>
      <c r="C3" s="7"/>
      <c r="D3" s="7"/>
      <c r="E3" s="7"/>
      <c r="F3" s="7"/>
      <c r="G3" s="7"/>
      <c r="H3" s="7"/>
      <c r="I3" s="7"/>
      <c r="J3" s="7"/>
      <c r="K3" s="7"/>
      <c r="L3" s="7"/>
      <c r="M3" s="7"/>
      <c r="N3" s="7"/>
      <c r="O3" s="7"/>
      <c r="P3" s="7"/>
      <c r="Q3" s="11" t="s">
        <v>20</v>
      </c>
      <c r="R3" s="7"/>
      <c r="S3" s="7"/>
      <c r="T3" s="7"/>
      <c r="U3" s="7"/>
      <c r="V3" s="7"/>
      <c r="W3" s="7"/>
      <c r="X3" s="7"/>
      <c r="Y3" s="7"/>
      <c r="Z3" s="7"/>
    </row>
    <row r="4" spans="1:26" ht="19.5" customHeight="1" x14ac:dyDescent="0.3">
      <c r="A4" s="71" t="s">
        <v>23</v>
      </c>
      <c r="B4" s="72"/>
      <c r="C4" s="72"/>
      <c r="D4" s="72"/>
      <c r="E4" s="72"/>
      <c r="F4" s="72"/>
      <c r="G4" s="72"/>
      <c r="H4" s="72"/>
      <c r="I4" s="72"/>
      <c r="J4" s="66"/>
      <c r="K4" s="7"/>
      <c r="L4" s="7"/>
      <c r="M4" s="7"/>
      <c r="N4" s="7"/>
      <c r="O4" s="7"/>
      <c r="P4" s="7"/>
      <c r="Q4" s="11" t="s">
        <v>33</v>
      </c>
      <c r="R4" s="7"/>
      <c r="S4" s="11" t="s">
        <v>35</v>
      </c>
      <c r="T4" s="7"/>
      <c r="U4" s="7"/>
      <c r="V4" s="7"/>
      <c r="W4" s="7"/>
      <c r="X4" s="7"/>
      <c r="Y4" s="7"/>
      <c r="Z4" s="7"/>
    </row>
    <row r="5" spans="1:26" ht="15.6" x14ac:dyDescent="0.3">
      <c r="A5" s="73" t="s">
        <v>2</v>
      </c>
      <c r="B5" s="74" t="s">
        <v>26</v>
      </c>
      <c r="C5" s="75"/>
      <c r="D5" s="65" t="s">
        <v>30</v>
      </c>
      <c r="E5" s="72"/>
      <c r="F5" s="66"/>
      <c r="G5" s="67"/>
      <c r="H5" s="65" t="s">
        <v>37</v>
      </c>
      <c r="I5" s="66"/>
      <c r="J5" s="67"/>
      <c r="K5" s="7"/>
      <c r="L5" s="7"/>
      <c r="M5" s="7"/>
      <c r="N5" s="7"/>
      <c r="O5" s="7"/>
      <c r="P5" s="7"/>
      <c r="Q5" s="11" t="s">
        <v>57</v>
      </c>
      <c r="R5" s="7"/>
      <c r="S5" s="7"/>
      <c r="T5" s="7"/>
      <c r="U5" s="7"/>
      <c r="V5" s="7"/>
      <c r="W5" s="7"/>
      <c r="X5" s="7"/>
      <c r="Y5" s="7"/>
      <c r="Z5" s="7"/>
    </row>
    <row r="6" spans="1:26" ht="31.2" x14ac:dyDescent="0.3">
      <c r="A6" s="68"/>
      <c r="B6" s="76"/>
      <c r="C6" s="77"/>
      <c r="D6" s="1" t="s">
        <v>43</v>
      </c>
      <c r="E6" s="1" t="s">
        <v>47</v>
      </c>
      <c r="F6" s="1" t="s">
        <v>48</v>
      </c>
      <c r="G6" s="68"/>
      <c r="H6" s="1" t="s">
        <v>50</v>
      </c>
      <c r="I6" s="1" t="s">
        <v>48</v>
      </c>
      <c r="J6" s="68"/>
      <c r="K6" s="7"/>
      <c r="L6" s="7"/>
      <c r="M6" s="7"/>
      <c r="N6" s="7"/>
      <c r="O6" s="7"/>
      <c r="P6" s="7"/>
      <c r="Q6" s="11" t="s">
        <v>61</v>
      </c>
      <c r="R6" s="7"/>
      <c r="S6" s="7"/>
      <c r="T6" s="7"/>
      <c r="U6" s="7"/>
      <c r="V6" s="7"/>
      <c r="W6" s="7"/>
      <c r="X6" s="7"/>
      <c r="Y6" s="7"/>
      <c r="Z6" s="7"/>
    </row>
    <row r="7" spans="1:26" ht="15.6" x14ac:dyDescent="0.3">
      <c r="A7" s="4">
        <v>1</v>
      </c>
      <c r="B7" s="78" t="s">
        <v>66</v>
      </c>
      <c r="C7" s="66"/>
      <c r="D7" s="4">
        <v>1</v>
      </c>
      <c r="E7" s="4">
        <v>1</v>
      </c>
      <c r="F7" s="24">
        <f t="shared" ref="F7:F9" si="0">D7*E7</f>
        <v>1</v>
      </c>
      <c r="G7" s="4"/>
      <c r="H7" s="26">
        <v>4312000</v>
      </c>
      <c r="I7" s="28">
        <f t="shared" ref="I7:I9" si="1">F7*H7</f>
        <v>4312000</v>
      </c>
      <c r="J7" s="5"/>
      <c r="K7" s="7"/>
      <c r="L7" s="7"/>
      <c r="M7" s="7"/>
      <c r="N7" s="7"/>
      <c r="O7" s="7"/>
      <c r="P7" s="7"/>
      <c r="Q7" s="7"/>
      <c r="R7" s="7"/>
      <c r="S7" s="7"/>
      <c r="T7" s="7"/>
      <c r="U7" s="7"/>
      <c r="V7" s="7"/>
      <c r="W7" s="7"/>
      <c r="X7" s="7"/>
      <c r="Y7" s="7"/>
      <c r="Z7" s="7"/>
    </row>
    <row r="8" spans="1:26" ht="15.6" x14ac:dyDescent="0.3">
      <c r="A8" s="4">
        <v>2</v>
      </c>
      <c r="B8" s="78" t="s">
        <v>95</v>
      </c>
      <c r="C8" s="66"/>
      <c r="D8" s="4">
        <v>1</v>
      </c>
      <c r="E8" s="4">
        <v>1</v>
      </c>
      <c r="F8" s="24">
        <f t="shared" si="0"/>
        <v>1</v>
      </c>
      <c r="G8" s="4"/>
      <c r="H8" s="26">
        <v>5390000</v>
      </c>
      <c r="I8" s="28">
        <f t="shared" si="1"/>
        <v>5390000</v>
      </c>
      <c r="J8" s="5"/>
      <c r="K8" s="7"/>
      <c r="L8" s="7"/>
      <c r="M8" s="7"/>
      <c r="N8" s="7"/>
      <c r="O8" s="7"/>
      <c r="P8" s="7"/>
      <c r="Q8" s="7"/>
      <c r="R8" s="7"/>
      <c r="S8" s="7"/>
      <c r="T8" s="7"/>
      <c r="U8" s="7"/>
      <c r="V8" s="7"/>
      <c r="W8" s="7"/>
      <c r="X8" s="7"/>
      <c r="Y8" s="7"/>
      <c r="Z8" s="7"/>
    </row>
    <row r="9" spans="1:26" ht="15.6" x14ac:dyDescent="0.3">
      <c r="A9" s="4">
        <v>3</v>
      </c>
      <c r="B9" s="78" t="s">
        <v>104</v>
      </c>
      <c r="C9" s="66"/>
      <c r="D9" s="4">
        <v>1</v>
      </c>
      <c r="E9" s="4">
        <v>1</v>
      </c>
      <c r="F9" s="24">
        <f t="shared" si="0"/>
        <v>1</v>
      </c>
      <c r="G9" s="4"/>
      <c r="H9" s="29">
        <v>4260000</v>
      </c>
      <c r="I9" s="28">
        <f t="shared" si="1"/>
        <v>4260000</v>
      </c>
      <c r="J9" s="5"/>
      <c r="K9" s="7"/>
      <c r="L9" s="7"/>
      <c r="M9" s="7"/>
      <c r="N9" s="7"/>
      <c r="O9" s="7"/>
      <c r="P9" s="7"/>
      <c r="Q9" s="11" t="s">
        <v>110</v>
      </c>
      <c r="R9" s="7"/>
      <c r="S9" s="7"/>
      <c r="T9" s="7"/>
      <c r="U9" s="7"/>
      <c r="V9" s="7"/>
      <c r="W9" s="7"/>
      <c r="X9" s="7"/>
      <c r="Y9" s="7"/>
      <c r="Z9" s="7"/>
    </row>
    <row r="10" spans="1:26" ht="15.6" x14ac:dyDescent="0.3">
      <c r="A10" s="79" t="s">
        <v>111</v>
      </c>
      <c r="B10" s="72"/>
      <c r="C10" s="72"/>
      <c r="D10" s="72"/>
      <c r="E10" s="72"/>
      <c r="F10" s="72"/>
      <c r="G10" s="72"/>
      <c r="H10" s="66"/>
      <c r="I10" s="18">
        <f>SUM(I7:I9)</f>
        <v>13962000</v>
      </c>
      <c r="J10" s="5"/>
      <c r="K10" s="7"/>
      <c r="L10" s="7"/>
      <c r="M10" s="7"/>
      <c r="N10" s="7"/>
      <c r="O10" s="7"/>
      <c r="P10" s="7"/>
      <c r="Q10" s="11" t="s">
        <v>114</v>
      </c>
      <c r="R10" s="7"/>
      <c r="S10" s="7"/>
      <c r="T10" s="7"/>
      <c r="U10" s="7"/>
      <c r="V10" s="7"/>
      <c r="W10" s="7"/>
      <c r="X10" s="7"/>
      <c r="Y10" s="7"/>
      <c r="Z10" s="7"/>
    </row>
    <row r="11" spans="1:26" ht="15.6" x14ac:dyDescent="0.3">
      <c r="A11" s="7"/>
      <c r="B11" s="7"/>
      <c r="C11" s="7"/>
      <c r="D11" s="7"/>
      <c r="E11" s="7"/>
      <c r="F11" s="7"/>
      <c r="G11" s="7"/>
      <c r="H11" s="7"/>
      <c r="I11" s="7"/>
      <c r="J11" s="7"/>
      <c r="K11" s="7"/>
      <c r="L11" s="7"/>
      <c r="M11" s="7"/>
      <c r="N11" s="7"/>
      <c r="O11" s="7"/>
      <c r="P11" s="7"/>
      <c r="Q11" s="11" t="s">
        <v>115</v>
      </c>
      <c r="R11" s="7"/>
      <c r="S11" s="7"/>
      <c r="T11" s="7"/>
      <c r="U11" s="7"/>
      <c r="V11" s="7"/>
      <c r="W11" s="7"/>
      <c r="X11" s="7"/>
      <c r="Y11" s="7"/>
      <c r="Z11" s="7"/>
    </row>
    <row r="12" spans="1:26" ht="19.5" customHeight="1" x14ac:dyDescent="0.3">
      <c r="A12" s="71" t="s">
        <v>116</v>
      </c>
      <c r="B12" s="72"/>
      <c r="C12" s="72"/>
      <c r="D12" s="72"/>
      <c r="E12" s="72"/>
      <c r="F12" s="72"/>
      <c r="G12" s="72"/>
      <c r="H12" s="72"/>
      <c r="I12" s="72"/>
      <c r="J12" s="66"/>
      <c r="K12" s="7"/>
      <c r="L12" s="7"/>
      <c r="M12" s="7"/>
      <c r="N12" s="7"/>
      <c r="O12" s="7"/>
      <c r="P12" s="7"/>
      <c r="Q12" s="11" t="s">
        <v>118</v>
      </c>
      <c r="R12" s="7"/>
      <c r="S12" s="7"/>
      <c r="T12" s="7"/>
      <c r="U12" s="7"/>
      <c r="V12" s="7"/>
      <c r="W12" s="7"/>
      <c r="X12" s="7"/>
      <c r="Y12" s="7"/>
      <c r="Z12" s="7"/>
    </row>
    <row r="13" spans="1:26" ht="46.8" x14ac:dyDescent="0.3">
      <c r="A13" s="1" t="s">
        <v>2</v>
      </c>
      <c r="B13" s="1" t="s">
        <v>120</v>
      </c>
      <c r="C13" s="1" t="s">
        <v>121</v>
      </c>
      <c r="D13" s="1" t="s">
        <v>122</v>
      </c>
      <c r="E13" s="1" t="s">
        <v>123</v>
      </c>
      <c r="F13" s="1" t="s">
        <v>124</v>
      </c>
      <c r="G13" s="1" t="s">
        <v>125</v>
      </c>
      <c r="H13" s="1" t="s">
        <v>126</v>
      </c>
      <c r="I13" s="1" t="s">
        <v>127</v>
      </c>
      <c r="J13" s="1" t="s">
        <v>128</v>
      </c>
      <c r="K13" s="7"/>
      <c r="L13" s="7"/>
      <c r="M13" s="7"/>
      <c r="N13" s="7"/>
      <c r="O13" s="7"/>
      <c r="P13" s="7"/>
      <c r="Q13" s="11" t="s">
        <v>129</v>
      </c>
      <c r="R13" s="7"/>
      <c r="S13" s="7"/>
      <c r="T13" s="7"/>
      <c r="U13" s="7"/>
      <c r="V13" s="7"/>
      <c r="W13" s="7"/>
      <c r="X13" s="7"/>
      <c r="Y13" s="7"/>
      <c r="Z13" s="7"/>
    </row>
    <row r="14" spans="1:26" ht="15.6" x14ac:dyDescent="0.3">
      <c r="A14" s="4">
        <v>1</v>
      </c>
      <c r="B14" s="30" t="s">
        <v>131</v>
      </c>
      <c r="C14" s="30" t="s">
        <v>132</v>
      </c>
      <c r="D14" s="4">
        <v>1</v>
      </c>
      <c r="E14" s="4">
        <v>3</v>
      </c>
      <c r="F14" s="24">
        <f t="shared" ref="F14:F37" si="2">D14*E14</f>
        <v>3</v>
      </c>
      <c r="G14" s="31">
        <v>1</v>
      </c>
      <c r="H14" s="28">
        <v>30000</v>
      </c>
      <c r="I14" s="12">
        <f t="shared" ref="I14:I37" si="3">F14*G14*H14</f>
        <v>90000</v>
      </c>
      <c r="J14" s="4" t="s">
        <v>135</v>
      </c>
      <c r="K14" s="7"/>
      <c r="L14" s="7"/>
      <c r="M14" s="7"/>
      <c r="N14" s="7"/>
      <c r="O14" s="7"/>
      <c r="P14" s="7"/>
      <c r="Q14" s="7"/>
      <c r="R14" s="7"/>
      <c r="S14" s="7"/>
      <c r="T14" s="7"/>
      <c r="U14" s="7"/>
      <c r="V14" s="7"/>
      <c r="W14" s="7"/>
      <c r="X14" s="7"/>
      <c r="Y14" s="7"/>
      <c r="Z14" s="7"/>
    </row>
    <row r="15" spans="1:26" ht="31.2" x14ac:dyDescent="0.3">
      <c r="A15" s="4">
        <v>2</v>
      </c>
      <c r="B15" s="30" t="s">
        <v>131</v>
      </c>
      <c r="C15" s="30" t="s">
        <v>136</v>
      </c>
      <c r="D15" s="4">
        <v>1</v>
      </c>
      <c r="E15" s="4">
        <v>3</v>
      </c>
      <c r="F15" s="24">
        <f t="shared" si="2"/>
        <v>3</v>
      </c>
      <c r="G15" s="31">
        <v>1.3</v>
      </c>
      <c r="H15" s="28">
        <v>30000</v>
      </c>
      <c r="I15" s="12">
        <f t="shared" si="3"/>
        <v>117000.00000000001</v>
      </c>
      <c r="J15" s="4" t="s">
        <v>135</v>
      </c>
      <c r="K15" s="7"/>
      <c r="L15" s="7"/>
      <c r="M15" s="7"/>
      <c r="N15" s="7"/>
      <c r="O15" s="7"/>
      <c r="P15" s="7"/>
      <c r="Q15" s="11" t="s">
        <v>139</v>
      </c>
      <c r="R15" s="7"/>
      <c r="S15" s="7"/>
      <c r="T15" s="7"/>
      <c r="U15" s="7"/>
      <c r="V15" s="7"/>
      <c r="W15" s="7"/>
      <c r="X15" s="7"/>
      <c r="Y15" s="7"/>
      <c r="Z15" s="7"/>
    </row>
    <row r="16" spans="1:26" ht="15.6" x14ac:dyDescent="0.3">
      <c r="A16" s="4">
        <v>3</v>
      </c>
      <c r="B16" s="30" t="s">
        <v>140</v>
      </c>
      <c r="C16" s="30" t="s">
        <v>141</v>
      </c>
      <c r="D16" s="4">
        <v>2</v>
      </c>
      <c r="E16" s="4">
        <v>3</v>
      </c>
      <c r="F16" s="24">
        <f t="shared" si="2"/>
        <v>6</v>
      </c>
      <c r="G16" s="31">
        <v>1</v>
      </c>
      <c r="H16" s="28">
        <v>50000</v>
      </c>
      <c r="I16" s="12">
        <f t="shared" si="3"/>
        <v>300000</v>
      </c>
      <c r="J16" s="4" t="s">
        <v>135</v>
      </c>
      <c r="K16" s="7"/>
      <c r="L16" s="7"/>
      <c r="M16" s="7"/>
      <c r="N16" s="7"/>
      <c r="O16" s="7"/>
      <c r="P16" s="7"/>
      <c r="Q16" s="11" t="s">
        <v>143</v>
      </c>
      <c r="R16" s="7"/>
      <c r="S16" s="7"/>
      <c r="T16" s="7"/>
      <c r="U16" s="7"/>
      <c r="V16" s="7"/>
      <c r="W16" s="7"/>
      <c r="X16" s="7"/>
      <c r="Y16" s="7"/>
      <c r="Z16" s="7"/>
    </row>
    <row r="17" spans="1:26" ht="31.2" x14ac:dyDescent="0.3">
      <c r="A17" s="4">
        <v>4</v>
      </c>
      <c r="B17" s="30" t="s">
        <v>140</v>
      </c>
      <c r="C17" s="30" t="s">
        <v>144</v>
      </c>
      <c r="D17" s="4">
        <v>2</v>
      </c>
      <c r="E17" s="4">
        <v>2</v>
      </c>
      <c r="F17" s="24">
        <f t="shared" si="2"/>
        <v>4</v>
      </c>
      <c r="G17" s="31">
        <v>1.3</v>
      </c>
      <c r="H17" s="28">
        <v>50000</v>
      </c>
      <c r="I17" s="12">
        <f t="shared" si="3"/>
        <v>260000</v>
      </c>
      <c r="J17" s="4" t="s">
        <v>135</v>
      </c>
      <c r="K17" s="7"/>
      <c r="L17" s="7"/>
      <c r="M17" s="7"/>
      <c r="N17" s="7"/>
      <c r="O17" s="7"/>
      <c r="P17" s="7"/>
      <c r="Q17" s="11" t="s">
        <v>145</v>
      </c>
      <c r="R17" s="7"/>
      <c r="S17" s="7"/>
      <c r="T17" s="7"/>
      <c r="U17" s="7"/>
      <c r="V17" s="7"/>
      <c r="W17" s="7"/>
      <c r="X17" s="7"/>
      <c r="Y17" s="7"/>
      <c r="Z17" s="7"/>
    </row>
    <row r="18" spans="1:26" ht="15.6" x14ac:dyDescent="0.3">
      <c r="A18" s="4">
        <v>5</v>
      </c>
      <c r="B18" s="30" t="s">
        <v>148</v>
      </c>
      <c r="C18" s="30" t="s">
        <v>149</v>
      </c>
      <c r="D18" s="4">
        <v>2</v>
      </c>
      <c r="E18" s="4">
        <v>2</v>
      </c>
      <c r="F18" s="24">
        <f t="shared" si="2"/>
        <v>4</v>
      </c>
      <c r="G18" s="31">
        <v>1</v>
      </c>
      <c r="H18" s="28">
        <v>50000</v>
      </c>
      <c r="I18" s="12">
        <f t="shared" si="3"/>
        <v>200000</v>
      </c>
      <c r="J18" s="4" t="s">
        <v>135</v>
      </c>
      <c r="K18" s="7"/>
      <c r="L18" s="7"/>
      <c r="M18" s="7"/>
      <c r="N18" s="7"/>
      <c r="O18" s="7"/>
      <c r="P18" s="7"/>
      <c r="Q18" s="11" t="s">
        <v>150</v>
      </c>
      <c r="R18" s="7"/>
      <c r="S18" s="7"/>
      <c r="T18" s="7"/>
      <c r="U18" s="7"/>
      <c r="V18" s="7"/>
      <c r="W18" s="7"/>
      <c r="X18" s="7"/>
      <c r="Y18" s="7"/>
      <c r="Z18" s="7"/>
    </row>
    <row r="19" spans="1:26" ht="31.2" x14ac:dyDescent="0.3">
      <c r="A19" s="4">
        <v>6</v>
      </c>
      <c r="B19" s="30" t="s">
        <v>148</v>
      </c>
      <c r="C19" s="30" t="s">
        <v>151</v>
      </c>
      <c r="D19" s="4">
        <v>2</v>
      </c>
      <c r="E19" s="4">
        <v>2</v>
      </c>
      <c r="F19" s="24">
        <f t="shared" si="2"/>
        <v>4</v>
      </c>
      <c r="G19" s="31">
        <v>1</v>
      </c>
      <c r="H19" s="28">
        <v>50000</v>
      </c>
      <c r="I19" s="12">
        <f t="shared" si="3"/>
        <v>200000</v>
      </c>
      <c r="J19" s="4" t="s">
        <v>135</v>
      </c>
      <c r="K19" s="7"/>
      <c r="L19" s="7"/>
      <c r="M19" s="7"/>
      <c r="N19" s="7"/>
      <c r="O19" s="7"/>
      <c r="P19" s="7"/>
      <c r="Q19" s="11" t="s">
        <v>152</v>
      </c>
      <c r="R19" s="7"/>
      <c r="S19" s="7"/>
      <c r="T19" s="7"/>
      <c r="U19" s="7"/>
      <c r="V19" s="7"/>
      <c r="W19" s="7"/>
      <c r="X19" s="7"/>
      <c r="Y19" s="7"/>
      <c r="Z19" s="7"/>
    </row>
    <row r="20" spans="1:26" ht="31.2" x14ac:dyDescent="0.3">
      <c r="A20" s="4">
        <v>7</v>
      </c>
      <c r="B20" s="30" t="s">
        <v>154</v>
      </c>
      <c r="C20" s="30" t="s">
        <v>155</v>
      </c>
      <c r="D20" s="4">
        <v>1</v>
      </c>
      <c r="E20" s="4">
        <v>3</v>
      </c>
      <c r="F20" s="24">
        <f t="shared" si="2"/>
        <v>3</v>
      </c>
      <c r="G20" s="31">
        <v>1</v>
      </c>
      <c r="H20" s="28">
        <v>50000</v>
      </c>
      <c r="I20" s="12">
        <f t="shared" si="3"/>
        <v>150000</v>
      </c>
      <c r="J20" s="4" t="s">
        <v>135</v>
      </c>
      <c r="K20" s="7"/>
      <c r="L20" s="7"/>
      <c r="M20" s="7"/>
      <c r="N20" s="7"/>
      <c r="O20" s="7"/>
      <c r="P20" s="7"/>
      <c r="Q20" s="11" t="s">
        <v>157</v>
      </c>
      <c r="R20" s="7"/>
      <c r="S20" s="7"/>
      <c r="T20" s="7"/>
      <c r="U20" s="7"/>
      <c r="V20" s="7"/>
      <c r="W20" s="7"/>
      <c r="X20" s="7"/>
      <c r="Y20" s="7"/>
      <c r="Z20" s="7"/>
    </row>
    <row r="21" spans="1:26" ht="31.2" x14ac:dyDescent="0.3">
      <c r="A21" s="4">
        <v>8</v>
      </c>
      <c r="B21" s="30" t="s">
        <v>158</v>
      </c>
      <c r="C21" s="30" t="s">
        <v>159</v>
      </c>
      <c r="D21" s="4">
        <v>2</v>
      </c>
      <c r="E21" s="4">
        <v>4</v>
      </c>
      <c r="F21" s="24">
        <f t="shared" si="2"/>
        <v>8</v>
      </c>
      <c r="G21" s="31">
        <v>1.6</v>
      </c>
      <c r="H21" s="28">
        <v>50000</v>
      </c>
      <c r="I21" s="12">
        <f t="shared" si="3"/>
        <v>640000</v>
      </c>
      <c r="J21" s="4" t="s">
        <v>135</v>
      </c>
      <c r="K21" s="7"/>
      <c r="L21" s="7"/>
      <c r="M21" s="7"/>
      <c r="N21" s="7"/>
      <c r="O21" s="7"/>
      <c r="P21" s="7"/>
      <c r="Q21" s="11" t="s">
        <v>160</v>
      </c>
      <c r="R21" s="7"/>
      <c r="S21" s="7"/>
      <c r="T21" s="7"/>
      <c r="U21" s="7"/>
      <c r="V21" s="7"/>
      <c r="W21" s="7"/>
      <c r="X21" s="7"/>
      <c r="Y21" s="7"/>
      <c r="Z21" s="7"/>
    </row>
    <row r="22" spans="1:26" ht="31.2" x14ac:dyDescent="0.3">
      <c r="A22" s="4">
        <v>9</v>
      </c>
      <c r="B22" s="30" t="s">
        <v>158</v>
      </c>
      <c r="C22" s="30" t="s">
        <v>164</v>
      </c>
      <c r="D22" s="4">
        <v>2</v>
      </c>
      <c r="E22" s="4">
        <v>3</v>
      </c>
      <c r="F22" s="24">
        <f t="shared" si="2"/>
        <v>6</v>
      </c>
      <c r="G22" s="31">
        <v>1.3</v>
      </c>
      <c r="H22" s="28">
        <v>50000</v>
      </c>
      <c r="I22" s="12">
        <f t="shared" si="3"/>
        <v>390000.00000000006</v>
      </c>
      <c r="J22" s="4" t="s">
        <v>135</v>
      </c>
      <c r="K22" s="7"/>
      <c r="L22" s="7"/>
      <c r="M22" s="7"/>
      <c r="N22" s="7"/>
      <c r="O22" s="7"/>
      <c r="P22" s="7"/>
      <c r="Q22" s="11" t="s">
        <v>166</v>
      </c>
      <c r="R22" s="7"/>
      <c r="S22" s="7"/>
      <c r="T22" s="7"/>
      <c r="U22" s="7"/>
      <c r="V22" s="7"/>
      <c r="W22" s="7"/>
      <c r="X22" s="7"/>
      <c r="Y22" s="7"/>
      <c r="Z22" s="7"/>
    </row>
    <row r="23" spans="1:26" ht="31.2" x14ac:dyDescent="0.3">
      <c r="A23" s="4">
        <v>10</v>
      </c>
      <c r="B23" s="30" t="s">
        <v>113</v>
      </c>
      <c r="C23" s="30" t="s">
        <v>169</v>
      </c>
      <c r="D23" s="4">
        <v>2</v>
      </c>
      <c r="E23" s="4">
        <v>2</v>
      </c>
      <c r="F23" s="24">
        <f t="shared" si="2"/>
        <v>4</v>
      </c>
      <c r="G23" s="31">
        <v>1</v>
      </c>
      <c r="H23" s="28">
        <v>50000</v>
      </c>
      <c r="I23" s="12">
        <f t="shared" si="3"/>
        <v>200000</v>
      </c>
      <c r="J23" s="4" t="s">
        <v>135</v>
      </c>
      <c r="K23" s="7"/>
      <c r="L23" s="7"/>
      <c r="M23" s="7"/>
      <c r="N23" s="7"/>
      <c r="O23" s="7"/>
      <c r="P23" s="7"/>
      <c r="Q23" s="11" t="s">
        <v>171</v>
      </c>
      <c r="R23" s="7"/>
      <c r="S23" s="7"/>
      <c r="T23" s="7"/>
      <c r="U23" s="7"/>
      <c r="V23" s="7"/>
      <c r="W23" s="7"/>
      <c r="X23" s="7"/>
      <c r="Y23" s="7"/>
      <c r="Z23" s="7"/>
    </row>
    <row r="24" spans="1:26" ht="31.2" x14ac:dyDescent="0.3">
      <c r="A24" s="4">
        <v>11</v>
      </c>
      <c r="B24" s="30" t="s">
        <v>113</v>
      </c>
      <c r="C24" s="30" t="s">
        <v>173</v>
      </c>
      <c r="D24" s="4">
        <v>2</v>
      </c>
      <c r="E24" s="4">
        <v>1</v>
      </c>
      <c r="F24" s="24">
        <f t="shared" si="2"/>
        <v>2</v>
      </c>
      <c r="G24" s="31">
        <v>1.3</v>
      </c>
      <c r="H24" s="28">
        <v>50000</v>
      </c>
      <c r="I24" s="12">
        <f t="shared" si="3"/>
        <v>130000</v>
      </c>
      <c r="J24" s="4" t="s">
        <v>135</v>
      </c>
      <c r="K24" s="7"/>
      <c r="L24" s="7"/>
      <c r="M24" s="7"/>
      <c r="N24" s="7"/>
      <c r="O24" s="7"/>
      <c r="P24" s="7"/>
      <c r="Q24" s="7"/>
      <c r="R24" s="7"/>
      <c r="S24" s="7"/>
      <c r="T24" s="7"/>
      <c r="U24" s="7"/>
      <c r="V24" s="7"/>
      <c r="W24" s="7"/>
      <c r="X24" s="7"/>
      <c r="Y24" s="7"/>
      <c r="Z24" s="7"/>
    </row>
    <row r="25" spans="1:26" ht="31.2" x14ac:dyDescent="0.3">
      <c r="A25" s="4">
        <v>12</v>
      </c>
      <c r="B25" s="30" t="s">
        <v>117</v>
      </c>
      <c r="C25" s="30" t="s">
        <v>175</v>
      </c>
      <c r="D25" s="4">
        <v>2</v>
      </c>
      <c r="E25" s="4">
        <v>2</v>
      </c>
      <c r="F25" s="24">
        <f t="shared" si="2"/>
        <v>4</v>
      </c>
      <c r="G25" s="31">
        <v>1</v>
      </c>
      <c r="H25" s="28">
        <v>50000</v>
      </c>
      <c r="I25" s="12">
        <f t="shared" si="3"/>
        <v>200000</v>
      </c>
      <c r="J25" s="4" t="s">
        <v>135</v>
      </c>
      <c r="K25" s="7"/>
      <c r="L25" s="7"/>
      <c r="M25" s="7"/>
      <c r="N25" s="7"/>
      <c r="O25" s="7"/>
      <c r="P25" s="7"/>
      <c r="Q25" s="7"/>
      <c r="R25" s="7"/>
      <c r="S25" s="7"/>
      <c r="T25" s="7"/>
      <c r="U25" s="7"/>
      <c r="V25" s="7"/>
      <c r="W25" s="7"/>
      <c r="X25" s="7"/>
      <c r="Y25" s="7"/>
      <c r="Z25" s="7"/>
    </row>
    <row r="26" spans="1:26" ht="31.2" x14ac:dyDescent="0.3">
      <c r="A26" s="4">
        <v>13</v>
      </c>
      <c r="B26" s="30" t="s">
        <v>117</v>
      </c>
      <c r="C26" s="30" t="s">
        <v>179</v>
      </c>
      <c r="D26" s="4">
        <v>2</v>
      </c>
      <c r="E26" s="4">
        <v>2</v>
      </c>
      <c r="F26" s="24">
        <f t="shared" si="2"/>
        <v>4</v>
      </c>
      <c r="G26" s="31">
        <v>1.3</v>
      </c>
      <c r="H26" s="28">
        <v>50000</v>
      </c>
      <c r="I26" s="12">
        <f t="shared" si="3"/>
        <v>260000</v>
      </c>
      <c r="J26" s="4" t="s">
        <v>135</v>
      </c>
      <c r="K26" s="7"/>
      <c r="L26" s="7"/>
      <c r="M26" s="7"/>
      <c r="N26" s="7"/>
      <c r="O26" s="7"/>
      <c r="P26" s="7"/>
      <c r="Q26" s="7"/>
      <c r="R26" s="7"/>
      <c r="S26" s="7"/>
      <c r="T26" s="7"/>
      <c r="U26" s="7"/>
      <c r="V26" s="7"/>
      <c r="W26" s="7"/>
      <c r="X26" s="7"/>
      <c r="Y26" s="7"/>
      <c r="Z26" s="7"/>
    </row>
    <row r="27" spans="1:26" ht="31.2" x14ac:dyDescent="0.3">
      <c r="A27" s="4">
        <v>14</v>
      </c>
      <c r="B27" s="30" t="s">
        <v>181</v>
      </c>
      <c r="C27" s="30" t="s">
        <v>182</v>
      </c>
      <c r="D27" s="4">
        <v>1</v>
      </c>
      <c r="E27" s="4">
        <v>2</v>
      </c>
      <c r="F27" s="24">
        <f t="shared" si="2"/>
        <v>2</v>
      </c>
      <c r="G27" s="31">
        <v>1</v>
      </c>
      <c r="H27" s="28">
        <v>50000</v>
      </c>
      <c r="I27" s="12">
        <f t="shared" si="3"/>
        <v>100000</v>
      </c>
      <c r="J27" s="4" t="s">
        <v>135</v>
      </c>
      <c r="K27" s="7"/>
      <c r="L27" s="7"/>
      <c r="M27" s="7"/>
      <c r="N27" s="7"/>
      <c r="O27" s="7"/>
      <c r="P27" s="7"/>
      <c r="Q27" s="7"/>
      <c r="R27" s="7"/>
      <c r="S27" s="7"/>
      <c r="T27" s="7"/>
      <c r="U27" s="7"/>
      <c r="V27" s="7"/>
      <c r="W27" s="7"/>
      <c r="X27" s="7"/>
      <c r="Y27" s="7"/>
      <c r="Z27" s="7"/>
    </row>
    <row r="28" spans="1:26" ht="31.2" x14ac:dyDescent="0.3">
      <c r="A28" s="4">
        <v>15</v>
      </c>
      <c r="B28" s="30" t="s">
        <v>181</v>
      </c>
      <c r="C28" s="30" t="s">
        <v>187</v>
      </c>
      <c r="D28" s="4">
        <v>1</v>
      </c>
      <c r="E28" s="4">
        <v>2</v>
      </c>
      <c r="F28" s="24">
        <f t="shared" si="2"/>
        <v>2</v>
      </c>
      <c r="G28" s="31">
        <v>1</v>
      </c>
      <c r="H28" s="28">
        <v>50000</v>
      </c>
      <c r="I28" s="12">
        <f t="shared" si="3"/>
        <v>100000</v>
      </c>
      <c r="J28" s="4" t="s">
        <v>135</v>
      </c>
      <c r="K28" s="7"/>
      <c r="L28" s="7"/>
      <c r="M28" s="7"/>
      <c r="N28" s="7"/>
      <c r="O28" s="7"/>
      <c r="P28" s="7"/>
      <c r="Q28" s="7"/>
      <c r="R28" s="11" t="s">
        <v>188</v>
      </c>
      <c r="S28" s="7"/>
      <c r="T28" s="7"/>
      <c r="U28" s="7"/>
      <c r="V28" s="7"/>
      <c r="W28" s="7"/>
      <c r="X28" s="7"/>
      <c r="Y28" s="7"/>
      <c r="Z28" s="7"/>
    </row>
    <row r="29" spans="1:26" ht="31.2" x14ac:dyDescent="0.3">
      <c r="A29" s="4">
        <v>16</v>
      </c>
      <c r="B29" s="30" t="s">
        <v>130</v>
      </c>
      <c r="C29" s="30" t="s">
        <v>189</v>
      </c>
      <c r="D29" s="4">
        <v>2</v>
      </c>
      <c r="E29" s="4">
        <v>2</v>
      </c>
      <c r="F29" s="24">
        <f t="shared" si="2"/>
        <v>4</v>
      </c>
      <c r="G29" s="31">
        <v>1</v>
      </c>
      <c r="H29" s="28">
        <v>50000</v>
      </c>
      <c r="I29" s="12">
        <f t="shared" si="3"/>
        <v>200000</v>
      </c>
      <c r="J29" s="4" t="s">
        <v>135</v>
      </c>
      <c r="K29" s="7"/>
      <c r="L29" s="7"/>
      <c r="M29" s="7"/>
      <c r="N29" s="7"/>
      <c r="O29" s="7"/>
      <c r="P29" s="7"/>
      <c r="Q29" s="7"/>
      <c r="R29" s="7"/>
      <c r="S29" s="7"/>
      <c r="T29" s="7"/>
      <c r="U29" s="7"/>
      <c r="V29" s="7"/>
      <c r="W29" s="7"/>
      <c r="X29" s="7"/>
      <c r="Y29" s="7"/>
      <c r="Z29" s="7"/>
    </row>
    <row r="30" spans="1:26" ht="31.2" x14ac:dyDescent="0.3">
      <c r="A30" s="4">
        <v>17</v>
      </c>
      <c r="B30" s="30" t="s">
        <v>130</v>
      </c>
      <c r="C30" s="30" t="s">
        <v>194</v>
      </c>
      <c r="D30" s="4">
        <v>2</v>
      </c>
      <c r="E30" s="4">
        <v>2</v>
      </c>
      <c r="F30" s="24">
        <f t="shared" si="2"/>
        <v>4</v>
      </c>
      <c r="G30" s="31">
        <v>1.3</v>
      </c>
      <c r="H30" s="28">
        <v>50000</v>
      </c>
      <c r="I30" s="12">
        <f t="shared" si="3"/>
        <v>260000</v>
      </c>
      <c r="J30" s="4" t="s">
        <v>135</v>
      </c>
      <c r="K30" s="7"/>
      <c r="L30" s="7"/>
      <c r="M30" s="7"/>
      <c r="N30" s="7"/>
      <c r="O30" s="7"/>
      <c r="P30" s="7"/>
      <c r="Q30" s="7"/>
      <c r="R30" s="11" t="s">
        <v>195</v>
      </c>
      <c r="S30" s="7"/>
      <c r="T30" s="7"/>
      <c r="U30" s="7"/>
      <c r="V30" s="7"/>
      <c r="W30" s="7"/>
      <c r="X30" s="7"/>
      <c r="Y30" s="7"/>
      <c r="Z30" s="7"/>
    </row>
    <row r="31" spans="1:26" ht="31.2" x14ac:dyDescent="0.3">
      <c r="A31" s="4">
        <v>18</v>
      </c>
      <c r="B31" s="30" t="s">
        <v>133</v>
      </c>
      <c r="C31" s="30" t="s">
        <v>197</v>
      </c>
      <c r="D31" s="4">
        <v>2</v>
      </c>
      <c r="E31" s="4">
        <v>2</v>
      </c>
      <c r="F31" s="24">
        <f t="shared" si="2"/>
        <v>4</v>
      </c>
      <c r="G31" s="31">
        <v>1</v>
      </c>
      <c r="H31" s="28">
        <v>50000</v>
      </c>
      <c r="I31" s="12">
        <f t="shared" si="3"/>
        <v>200000</v>
      </c>
      <c r="J31" s="4" t="s">
        <v>135</v>
      </c>
      <c r="K31" s="7"/>
      <c r="L31" s="7"/>
      <c r="M31" s="7"/>
      <c r="N31" s="7"/>
      <c r="O31" s="7"/>
      <c r="P31" s="7"/>
      <c r="Q31" s="7"/>
      <c r="R31" s="7"/>
      <c r="S31" s="7"/>
      <c r="T31" s="7"/>
      <c r="U31" s="7"/>
      <c r="V31" s="7"/>
      <c r="W31" s="7"/>
      <c r="X31" s="7"/>
      <c r="Y31" s="7"/>
      <c r="Z31" s="7"/>
    </row>
    <row r="32" spans="1:26" ht="31.2" x14ac:dyDescent="0.3">
      <c r="A32" s="4">
        <v>19</v>
      </c>
      <c r="B32" s="30" t="s">
        <v>133</v>
      </c>
      <c r="C32" s="30" t="s">
        <v>198</v>
      </c>
      <c r="D32" s="4">
        <v>2</v>
      </c>
      <c r="E32" s="4">
        <v>3</v>
      </c>
      <c r="F32" s="24">
        <f t="shared" si="2"/>
        <v>6</v>
      </c>
      <c r="G32" s="31">
        <v>1</v>
      </c>
      <c r="H32" s="28">
        <v>50000</v>
      </c>
      <c r="I32" s="12">
        <f t="shared" si="3"/>
        <v>300000</v>
      </c>
      <c r="J32" s="4" t="s">
        <v>135</v>
      </c>
      <c r="K32" s="7"/>
      <c r="L32" s="7"/>
      <c r="M32" s="7"/>
      <c r="N32" s="7"/>
      <c r="O32" s="7"/>
      <c r="P32" s="7"/>
      <c r="Q32" s="7"/>
      <c r="R32" s="7"/>
      <c r="S32" s="7"/>
      <c r="T32" s="7"/>
      <c r="U32" s="7"/>
      <c r="V32" s="7"/>
      <c r="W32" s="7"/>
      <c r="X32" s="7"/>
      <c r="Y32" s="7"/>
      <c r="Z32" s="7"/>
    </row>
    <row r="33" spans="1:26" ht="31.2" x14ac:dyDescent="0.3">
      <c r="A33" s="4">
        <v>20</v>
      </c>
      <c r="B33" s="30" t="s">
        <v>200</v>
      </c>
      <c r="C33" s="30" t="s">
        <v>201</v>
      </c>
      <c r="D33" s="4">
        <v>2</v>
      </c>
      <c r="E33" s="4">
        <v>2</v>
      </c>
      <c r="F33" s="24">
        <f t="shared" si="2"/>
        <v>4</v>
      </c>
      <c r="G33" s="31">
        <v>1</v>
      </c>
      <c r="H33" s="28">
        <v>50000</v>
      </c>
      <c r="I33" s="12">
        <f t="shared" si="3"/>
        <v>200000</v>
      </c>
      <c r="J33" s="4" t="s">
        <v>135</v>
      </c>
      <c r="K33" s="7"/>
      <c r="L33" s="7"/>
      <c r="M33" s="11" t="s">
        <v>202</v>
      </c>
      <c r="N33" s="7"/>
      <c r="O33" s="7"/>
      <c r="P33" s="7"/>
      <c r="Q33" s="7"/>
      <c r="R33" s="7"/>
      <c r="S33" s="7"/>
      <c r="T33" s="7"/>
      <c r="U33" s="7"/>
      <c r="V33" s="7"/>
      <c r="W33" s="7"/>
      <c r="X33" s="7"/>
      <c r="Y33" s="7"/>
      <c r="Z33" s="7"/>
    </row>
    <row r="34" spans="1:26" ht="31.2" x14ac:dyDescent="0.3">
      <c r="A34" s="4">
        <v>21</v>
      </c>
      <c r="B34" s="30" t="s">
        <v>200</v>
      </c>
      <c r="C34" s="30" t="s">
        <v>206</v>
      </c>
      <c r="D34" s="4">
        <v>2</v>
      </c>
      <c r="E34" s="4">
        <v>2</v>
      </c>
      <c r="F34" s="24">
        <f t="shared" si="2"/>
        <v>4</v>
      </c>
      <c r="G34" s="31">
        <v>1</v>
      </c>
      <c r="H34" s="28">
        <v>50000</v>
      </c>
      <c r="I34" s="12">
        <f t="shared" si="3"/>
        <v>200000</v>
      </c>
      <c r="J34" s="4" t="s">
        <v>135</v>
      </c>
      <c r="K34" s="7"/>
      <c r="L34" s="7"/>
      <c r="M34" s="7"/>
      <c r="N34" s="7"/>
      <c r="O34" s="7"/>
      <c r="P34" s="7"/>
      <c r="Q34" s="7"/>
      <c r="R34" s="7"/>
      <c r="S34" s="7"/>
      <c r="T34" s="7"/>
      <c r="U34" s="7"/>
      <c r="V34" s="7"/>
      <c r="W34" s="7"/>
      <c r="X34" s="7"/>
      <c r="Y34" s="7"/>
      <c r="Z34" s="7"/>
    </row>
    <row r="35" spans="1:26" ht="15.6" x14ac:dyDescent="0.3">
      <c r="A35" s="4">
        <v>22</v>
      </c>
      <c r="B35" s="30" t="s">
        <v>207</v>
      </c>
      <c r="C35" s="30" t="s">
        <v>208</v>
      </c>
      <c r="D35" s="4">
        <v>1</v>
      </c>
      <c r="E35" s="4">
        <v>3</v>
      </c>
      <c r="F35" s="24">
        <f t="shared" si="2"/>
        <v>3</v>
      </c>
      <c r="G35" s="31">
        <v>1.3</v>
      </c>
      <c r="H35" s="28">
        <v>40000</v>
      </c>
      <c r="I35" s="12">
        <f t="shared" si="3"/>
        <v>156000</v>
      </c>
      <c r="J35" s="4" t="s">
        <v>135</v>
      </c>
      <c r="K35" s="7"/>
      <c r="L35" s="7"/>
      <c r="M35" s="7"/>
      <c r="N35" s="7"/>
      <c r="O35" s="7"/>
      <c r="P35" s="7"/>
      <c r="Q35" s="7"/>
      <c r="R35" s="7"/>
      <c r="S35" s="11" t="s">
        <v>210</v>
      </c>
      <c r="T35" s="7"/>
      <c r="U35" s="7"/>
      <c r="V35" s="7"/>
      <c r="W35" s="7"/>
      <c r="X35" s="7"/>
      <c r="Y35" s="7"/>
      <c r="Z35" s="7"/>
    </row>
    <row r="36" spans="1:26" ht="15.6" x14ac:dyDescent="0.3">
      <c r="A36" s="4">
        <v>23</v>
      </c>
      <c r="B36" s="30" t="s">
        <v>207</v>
      </c>
      <c r="C36" s="30" t="s">
        <v>211</v>
      </c>
      <c r="D36" s="4">
        <v>1</v>
      </c>
      <c r="E36" s="4">
        <v>2</v>
      </c>
      <c r="F36" s="24">
        <f t="shared" si="2"/>
        <v>2</v>
      </c>
      <c r="G36" s="31">
        <v>1</v>
      </c>
      <c r="H36" s="28">
        <v>40000</v>
      </c>
      <c r="I36" s="12">
        <f t="shared" si="3"/>
        <v>80000</v>
      </c>
      <c r="J36" s="4" t="s">
        <v>135</v>
      </c>
      <c r="K36" s="7"/>
      <c r="L36" s="7"/>
      <c r="M36" s="7"/>
      <c r="N36" s="7"/>
      <c r="O36" s="7"/>
      <c r="P36" s="7"/>
      <c r="Q36" s="7"/>
      <c r="R36" s="7"/>
      <c r="S36" s="7"/>
      <c r="T36" s="7"/>
      <c r="U36" s="7"/>
      <c r="V36" s="7"/>
      <c r="W36" s="7"/>
      <c r="X36" s="7"/>
      <c r="Y36" s="7"/>
      <c r="Z36" s="7"/>
    </row>
    <row r="37" spans="1:26" ht="31.2" x14ac:dyDescent="0.3">
      <c r="A37" s="4">
        <v>24</v>
      </c>
      <c r="B37" s="30" t="s">
        <v>142</v>
      </c>
      <c r="C37" s="30" t="s">
        <v>213</v>
      </c>
      <c r="D37" s="4">
        <v>1</v>
      </c>
      <c r="E37" s="4">
        <v>5</v>
      </c>
      <c r="F37" s="24">
        <f t="shared" si="2"/>
        <v>5</v>
      </c>
      <c r="G37" s="31">
        <v>1</v>
      </c>
      <c r="H37" s="28">
        <v>20000</v>
      </c>
      <c r="I37" s="12">
        <f t="shared" si="3"/>
        <v>100000</v>
      </c>
      <c r="J37" s="4" t="s">
        <v>135</v>
      </c>
      <c r="K37" s="7"/>
      <c r="L37" s="7"/>
      <c r="M37" s="7"/>
      <c r="N37" s="7"/>
      <c r="O37" s="7"/>
      <c r="P37" s="7"/>
      <c r="Q37" s="7"/>
      <c r="R37" s="11" t="s">
        <v>214</v>
      </c>
      <c r="S37" s="7"/>
      <c r="T37" s="7"/>
      <c r="U37" s="7"/>
      <c r="V37" s="7"/>
      <c r="W37" s="7"/>
      <c r="X37" s="7"/>
      <c r="Y37" s="7"/>
      <c r="Z37" s="7"/>
    </row>
    <row r="38" spans="1:26" ht="31.2" x14ac:dyDescent="0.3">
      <c r="A38" s="80" t="s">
        <v>215</v>
      </c>
      <c r="B38" s="72"/>
      <c r="C38" s="72"/>
      <c r="D38" s="72"/>
      <c r="E38" s="72"/>
      <c r="F38" s="72"/>
      <c r="G38" s="72"/>
      <c r="H38" s="66"/>
      <c r="I38" s="18">
        <f>SUM(I14:I37)</f>
        <v>5033000</v>
      </c>
      <c r="J38" s="5"/>
      <c r="K38" s="7"/>
      <c r="L38" s="7"/>
      <c r="M38" s="7"/>
      <c r="N38" s="7"/>
      <c r="O38" s="7"/>
      <c r="P38" s="7"/>
      <c r="Q38" s="7"/>
      <c r="R38" s="47" t="s">
        <v>216</v>
      </c>
      <c r="S38" s="7"/>
      <c r="T38" s="7"/>
      <c r="U38" s="7"/>
      <c r="V38" s="7"/>
      <c r="W38" s="7"/>
      <c r="X38" s="7"/>
      <c r="Y38" s="7"/>
      <c r="Z38" s="7"/>
    </row>
    <row r="39" spans="1:26" ht="15.6"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6" x14ac:dyDescent="0.3">
      <c r="A40" s="80" t="s">
        <v>218</v>
      </c>
      <c r="B40" s="72"/>
      <c r="C40" s="72"/>
      <c r="D40" s="72"/>
      <c r="E40" s="72"/>
      <c r="F40" s="72"/>
      <c r="G40" s="72"/>
      <c r="H40" s="72"/>
      <c r="I40" s="72"/>
      <c r="J40" s="66"/>
      <c r="K40" s="7"/>
      <c r="L40" s="7"/>
      <c r="M40" s="7"/>
      <c r="N40" s="7"/>
      <c r="O40" s="7"/>
      <c r="P40" s="7"/>
      <c r="Q40" s="7"/>
      <c r="R40" s="7"/>
      <c r="S40" s="7"/>
      <c r="T40" s="7"/>
      <c r="U40" s="7"/>
      <c r="V40" s="7"/>
      <c r="W40" s="7"/>
      <c r="X40" s="7"/>
      <c r="Y40" s="7"/>
      <c r="Z40" s="7"/>
    </row>
    <row r="41" spans="1:26" ht="31.2" x14ac:dyDescent="0.3">
      <c r="A41" s="4">
        <v>25</v>
      </c>
      <c r="B41" s="30" t="s">
        <v>219</v>
      </c>
      <c r="C41" s="30" t="s">
        <v>220</v>
      </c>
      <c r="D41" s="4">
        <v>2</v>
      </c>
      <c r="E41" s="4">
        <v>5</v>
      </c>
      <c r="F41" s="24">
        <f t="shared" ref="F41:F44" si="4">D41*E41</f>
        <v>10</v>
      </c>
      <c r="G41" s="31">
        <v>1.6</v>
      </c>
      <c r="H41" s="28">
        <v>50000</v>
      </c>
      <c r="I41" s="12">
        <f t="shared" ref="I41:I44" si="5">F41*G41*H41</f>
        <v>800000</v>
      </c>
      <c r="J41" s="4" t="s">
        <v>222</v>
      </c>
      <c r="K41" s="7"/>
      <c r="L41" s="7"/>
      <c r="M41" s="7"/>
      <c r="N41" s="7"/>
      <c r="O41" s="7"/>
      <c r="P41" s="7"/>
      <c r="Q41" s="7"/>
      <c r="R41" s="7"/>
      <c r="S41" s="7"/>
      <c r="T41" s="7"/>
      <c r="U41" s="7"/>
      <c r="V41" s="7"/>
      <c r="W41" s="7"/>
      <c r="X41" s="7"/>
      <c r="Y41" s="7"/>
      <c r="Z41" s="7"/>
    </row>
    <row r="42" spans="1:26" ht="46.8" x14ac:dyDescent="0.3">
      <c r="A42" s="4">
        <v>26</v>
      </c>
      <c r="B42" s="30" t="s">
        <v>219</v>
      </c>
      <c r="C42" s="30" t="s">
        <v>223</v>
      </c>
      <c r="D42" s="4">
        <v>2</v>
      </c>
      <c r="E42" s="4">
        <v>5</v>
      </c>
      <c r="F42" s="24">
        <f t="shared" si="4"/>
        <v>10</v>
      </c>
      <c r="G42" s="31">
        <v>1.6</v>
      </c>
      <c r="H42" s="28">
        <v>50000</v>
      </c>
      <c r="I42" s="12">
        <f t="shared" si="5"/>
        <v>800000</v>
      </c>
      <c r="J42" s="4" t="s">
        <v>222</v>
      </c>
      <c r="K42" s="7"/>
      <c r="L42" s="7"/>
      <c r="M42" s="7"/>
      <c r="N42" s="7"/>
      <c r="O42" s="7"/>
      <c r="P42" s="7"/>
      <c r="Q42" s="7"/>
      <c r="R42" s="7"/>
      <c r="S42" s="7"/>
      <c r="T42" s="7"/>
      <c r="U42" s="7"/>
      <c r="V42" s="7"/>
      <c r="W42" s="7"/>
      <c r="X42" s="7"/>
      <c r="Y42" s="7"/>
      <c r="Z42" s="7"/>
    </row>
    <row r="43" spans="1:26" ht="31.2" x14ac:dyDescent="0.3">
      <c r="A43" s="4">
        <v>27</v>
      </c>
      <c r="B43" s="30" t="s">
        <v>224</v>
      </c>
      <c r="C43" s="30" t="s">
        <v>225</v>
      </c>
      <c r="D43" s="4">
        <v>2</v>
      </c>
      <c r="E43" s="4">
        <v>5</v>
      </c>
      <c r="F43" s="24">
        <f t="shared" si="4"/>
        <v>10</v>
      </c>
      <c r="G43" s="31">
        <v>1.3</v>
      </c>
      <c r="H43" s="28">
        <v>50000</v>
      </c>
      <c r="I43" s="12">
        <f t="shared" si="5"/>
        <v>650000</v>
      </c>
      <c r="J43" s="4" t="s">
        <v>222</v>
      </c>
      <c r="K43" s="7"/>
      <c r="L43" s="7"/>
      <c r="M43" s="7"/>
      <c r="N43" s="7"/>
      <c r="O43" s="7"/>
      <c r="P43" s="7"/>
      <c r="Q43" s="7"/>
      <c r="R43" s="7"/>
      <c r="S43" s="7"/>
      <c r="T43" s="7"/>
      <c r="U43" s="7"/>
      <c r="V43" s="7"/>
      <c r="W43" s="7"/>
      <c r="X43" s="7"/>
      <c r="Y43" s="7"/>
      <c r="Z43" s="7"/>
    </row>
    <row r="44" spans="1:26" ht="31.2" x14ac:dyDescent="0.3">
      <c r="A44" s="4">
        <v>28</v>
      </c>
      <c r="B44" s="30" t="s">
        <v>226</v>
      </c>
      <c r="C44" s="30" t="s">
        <v>227</v>
      </c>
      <c r="D44" s="4">
        <v>1</v>
      </c>
      <c r="E44" s="4">
        <v>3</v>
      </c>
      <c r="F44" s="24">
        <f t="shared" si="4"/>
        <v>3</v>
      </c>
      <c r="G44" s="31">
        <v>1.3</v>
      </c>
      <c r="H44" s="28">
        <v>50000</v>
      </c>
      <c r="I44" s="12">
        <f t="shared" si="5"/>
        <v>195000.00000000003</v>
      </c>
      <c r="J44" s="4" t="s">
        <v>222</v>
      </c>
      <c r="K44" s="7"/>
      <c r="L44" s="7"/>
      <c r="M44" s="7"/>
      <c r="N44" s="7"/>
      <c r="O44" s="7"/>
      <c r="P44" s="7"/>
      <c r="Q44" s="7"/>
      <c r="R44" s="7"/>
      <c r="S44" s="7"/>
      <c r="T44" s="7"/>
      <c r="U44" s="7"/>
      <c r="V44" s="7"/>
      <c r="W44" s="7"/>
      <c r="X44" s="7"/>
      <c r="Y44" s="7"/>
      <c r="Z44" s="7"/>
    </row>
    <row r="45" spans="1:26" ht="15.6" x14ac:dyDescent="0.3">
      <c r="A45" s="79" t="s">
        <v>229</v>
      </c>
      <c r="B45" s="72"/>
      <c r="C45" s="72"/>
      <c r="D45" s="72"/>
      <c r="E45" s="72"/>
      <c r="F45" s="72"/>
      <c r="G45" s="72"/>
      <c r="H45" s="66"/>
      <c r="I45" s="18">
        <f>SUM(I41:I44)</f>
        <v>2445000</v>
      </c>
      <c r="J45" s="5"/>
      <c r="K45" s="7"/>
      <c r="L45" s="7"/>
      <c r="M45" s="7"/>
      <c r="N45" s="7"/>
      <c r="O45" s="7"/>
      <c r="P45" s="7"/>
      <c r="Q45" s="7"/>
      <c r="R45" s="7"/>
      <c r="S45" s="7"/>
      <c r="T45" s="7"/>
      <c r="U45" s="7"/>
      <c r="V45" s="7"/>
      <c r="W45" s="7"/>
      <c r="X45" s="7"/>
      <c r="Y45" s="7"/>
      <c r="Z45" s="7"/>
    </row>
    <row r="46" spans="1:26" ht="15.6"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9.5" customHeight="1" x14ac:dyDescent="0.3">
      <c r="A47" s="71" t="s">
        <v>230</v>
      </c>
      <c r="B47" s="72"/>
      <c r="C47" s="72"/>
      <c r="D47" s="72"/>
      <c r="E47" s="72"/>
      <c r="F47" s="72"/>
      <c r="G47" s="72"/>
      <c r="H47" s="72"/>
      <c r="I47" s="72"/>
      <c r="J47" s="66"/>
      <c r="K47" s="7"/>
      <c r="L47" s="7"/>
      <c r="M47" s="7"/>
      <c r="N47" s="7"/>
      <c r="O47" s="7"/>
      <c r="P47" s="7"/>
      <c r="Q47" s="7"/>
      <c r="R47" s="7"/>
      <c r="S47" s="7"/>
      <c r="T47" s="7"/>
      <c r="U47" s="7"/>
      <c r="V47" s="7"/>
      <c r="W47" s="7"/>
      <c r="X47" s="7"/>
      <c r="Y47" s="7"/>
      <c r="Z47" s="7"/>
    </row>
    <row r="48" spans="1:26" ht="15.6" x14ac:dyDescent="0.3">
      <c r="A48" s="73" t="s">
        <v>2</v>
      </c>
      <c r="B48" s="74" t="s">
        <v>26</v>
      </c>
      <c r="C48" s="75"/>
      <c r="D48" s="65" t="s">
        <v>30</v>
      </c>
      <c r="E48" s="72"/>
      <c r="F48" s="66"/>
      <c r="G48" s="67"/>
      <c r="H48" s="65" t="s">
        <v>37</v>
      </c>
      <c r="I48" s="66"/>
      <c r="J48" s="67"/>
      <c r="K48" s="7"/>
      <c r="L48" s="7"/>
      <c r="M48" s="7"/>
      <c r="N48" s="7"/>
      <c r="O48" s="7"/>
      <c r="P48" s="7"/>
      <c r="Q48" s="7"/>
      <c r="R48" s="7"/>
      <c r="S48" s="7"/>
      <c r="T48" s="7"/>
      <c r="U48" s="7"/>
      <c r="V48" s="7"/>
      <c r="W48" s="7"/>
      <c r="X48" s="7"/>
      <c r="Y48" s="7"/>
      <c r="Z48" s="7"/>
    </row>
    <row r="49" spans="1:26" ht="31.2" x14ac:dyDescent="0.3">
      <c r="A49" s="68"/>
      <c r="B49" s="76"/>
      <c r="C49" s="77"/>
      <c r="D49" s="1" t="s">
        <v>43</v>
      </c>
      <c r="E49" s="1" t="s">
        <v>47</v>
      </c>
      <c r="F49" s="1" t="s">
        <v>48</v>
      </c>
      <c r="G49" s="68"/>
      <c r="H49" s="1" t="s">
        <v>50</v>
      </c>
      <c r="I49" s="1" t="s">
        <v>48</v>
      </c>
      <c r="J49" s="68"/>
      <c r="K49" s="7"/>
      <c r="L49" s="7"/>
      <c r="M49" s="7"/>
      <c r="N49" s="7"/>
      <c r="O49" s="7"/>
      <c r="P49" s="7"/>
      <c r="Q49" s="7"/>
      <c r="R49" s="7"/>
      <c r="S49" s="7"/>
      <c r="T49" s="7"/>
      <c r="U49" s="7"/>
      <c r="V49" s="7"/>
      <c r="W49" s="7"/>
      <c r="X49" s="7"/>
      <c r="Y49" s="7"/>
      <c r="Z49" s="7"/>
    </row>
    <row r="50" spans="1:26" ht="15.6" x14ac:dyDescent="0.3">
      <c r="A50" s="4">
        <v>29</v>
      </c>
      <c r="B50" s="78" t="s">
        <v>231</v>
      </c>
      <c r="C50" s="66"/>
      <c r="D50" s="4">
        <v>1</v>
      </c>
      <c r="E50" s="4">
        <v>1</v>
      </c>
      <c r="F50" s="24">
        <f t="shared" ref="F50:F51" si="6">D50*E50</f>
        <v>1</v>
      </c>
      <c r="G50" s="4"/>
      <c r="H50" s="28">
        <v>500000</v>
      </c>
      <c r="I50" s="28">
        <f t="shared" ref="I50:I51" si="7">F50*H50</f>
        <v>500000</v>
      </c>
      <c r="J50" s="5"/>
      <c r="K50" s="7"/>
      <c r="L50" s="7"/>
      <c r="M50" s="7"/>
      <c r="N50" s="7"/>
      <c r="O50" s="7"/>
      <c r="P50" s="7"/>
      <c r="Q50" s="7"/>
      <c r="R50" s="7"/>
      <c r="S50" s="7"/>
      <c r="T50" s="7"/>
      <c r="U50" s="7"/>
      <c r="V50" s="7"/>
      <c r="W50" s="7"/>
      <c r="X50" s="7"/>
      <c r="Y50" s="7"/>
      <c r="Z50" s="7"/>
    </row>
    <row r="51" spans="1:26" ht="15.6" x14ac:dyDescent="0.3">
      <c r="A51" s="4">
        <v>30</v>
      </c>
      <c r="B51" s="78" t="s">
        <v>209</v>
      </c>
      <c r="C51" s="66"/>
      <c r="D51" s="4">
        <v>1</v>
      </c>
      <c r="E51" s="4">
        <v>1</v>
      </c>
      <c r="F51" s="24">
        <f t="shared" si="6"/>
        <v>1</v>
      </c>
      <c r="G51" s="4"/>
      <c r="H51" s="28">
        <v>200000</v>
      </c>
      <c r="I51" s="28">
        <f t="shared" si="7"/>
        <v>200000</v>
      </c>
      <c r="J51" s="5"/>
      <c r="K51" s="7"/>
      <c r="L51" s="7"/>
      <c r="M51" s="7"/>
      <c r="N51" s="7"/>
      <c r="O51" s="7"/>
      <c r="P51" s="7"/>
      <c r="Q51" s="7"/>
      <c r="R51" s="7"/>
      <c r="S51" s="7"/>
      <c r="T51" s="7"/>
      <c r="U51" s="7"/>
      <c r="V51" s="7"/>
      <c r="W51" s="7"/>
      <c r="X51" s="7"/>
      <c r="Y51" s="7"/>
      <c r="Z51" s="7"/>
    </row>
    <row r="52" spans="1:26" ht="15.6" x14ac:dyDescent="0.3">
      <c r="A52" s="79" t="s">
        <v>232</v>
      </c>
      <c r="B52" s="72"/>
      <c r="C52" s="72"/>
      <c r="D52" s="72"/>
      <c r="E52" s="72"/>
      <c r="F52" s="72"/>
      <c r="G52" s="72"/>
      <c r="H52" s="66"/>
      <c r="I52" s="18">
        <f>SUM(I50:I51)</f>
        <v>700000</v>
      </c>
      <c r="J52" s="5"/>
      <c r="K52" s="7"/>
      <c r="L52" s="7"/>
      <c r="M52" s="7"/>
      <c r="N52" s="7"/>
      <c r="O52" s="7"/>
      <c r="P52" s="7"/>
      <c r="Q52" s="7"/>
      <c r="R52" s="7"/>
      <c r="S52" s="7"/>
      <c r="T52" s="7"/>
      <c r="U52" s="7"/>
      <c r="V52" s="7"/>
      <c r="W52" s="7"/>
      <c r="X52" s="7"/>
      <c r="Y52" s="7"/>
      <c r="Z52" s="7"/>
    </row>
    <row r="53" spans="1:26" ht="15.6"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6" x14ac:dyDescent="0.3">
      <c r="A54" s="79" t="s">
        <v>233</v>
      </c>
      <c r="B54" s="72"/>
      <c r="C54" s="72"/>
      <c r="D54" s="72"/>
      <c r="E54" s="72"/>
      <c r="F54" s="72"/>
      <c r="G54" s="72"/>
      <c r="H54" s="66"/>
      <c r="I54" s="18">
        <f>I10+I38+I52</f>
        <v>19695000</v>
      </c>
      <c r="J54" s="5"/>
      <c r="K54" s="7"/>
      <c r="L54" s="7"/>
      <c r="M54" s="7"/>
      <c r="N54" s="7"/>
      <c r="O54" s="7"/>
      <c r="P54" s="7"/>
      <c r="Q54" s="7"/>
      <c r="R54" s="7"/>
      <c r="S54" s="7"/>
      <c r="T54" s="7"/>
      <c r="U54" s="7"/>
      <c r="V54" s="7"/>
      <c r="W54" s="7"/>
      <c r="X54" s="7"/>
      <c r="Y54" s="7"/>
      <c r="Z54" s="7"/>
    </row>
    <row r="55" spans="1:26" ht="15.6" x14ac:dyDescent="0.3">
      <c r="A55" s="81" t="s">
        <v>221</v>
      </c>
      <c r="B55" s="72"/>
      <c r="C55" s="72"/>
      <c r="D55" s="72"/>
      <c r="E55" s="72"/>
      <c r="F55" s="72"/>
      <c r="G55" s="72"/>
      <c r="H55" s="66"/>
      <c r="I55" s="12">
        <f>I54*10%</f>
        <v>1969500</v>
      </c>
      <c r="J55" s="5"/>
      <c r="K55" s="7"/>
      <c r="L55" s="7"/>
      <c r="M55" s="7"/>
      <c r="N55" s="7"/>
      <c r="O55" s="7"/>
      <c r="P55" s="7"/>
      <c r="Q55" s="7"/>
      <c r="R55" s="7"/>
      <c r="S55" s="7"/>
      <c r="T55" s="7"/>
      <c r="U55" s="7"/>
      <c r="V55" s="7"/>
      <c r="W55" s="7"/>
      <c r="X55" s="7"/>
      <c r="Y55" s="7"/>
      <c r="Z55" s="7"/>
    </row>
    <row r="56" spans="1:26" ht="15.6" x14ac:dyDescent="0.3">
      <c r="A56" s="79" t="s">
        <v>234</v>
      </c>
      <c r="B56" s="72"/>
      <c r="C56" s="72"/>
      <c r="D56" s="72"/>
      <c r="E56" s="72"/>
      <c r="F56" s="72"/>
      <c r="G56" s="72"/>
      <c r="H56" s="66"/>
      <c r="I56" s="18">
        <f>I54+I55</f>
        <v>21664500</v>
      </c>
      <c r="J56" s="5"/>
      <c r="K56" s="7"/>
      <c r="L56" s="7"/>
      <c r="M56" s="7"/>
      <c r="N56" s="7"/>
      <c r="O56" s="7"/>
      <c r="P56" s="7"/>
      <c r="Q56" s="7"/>
      <c r="R56" s="7"/>
      <c r="S56" s="7"/>
      <c r="T56" s="7"/>
      <c r="U56" s="7"/>
      <c r="V56" s="7"/>
      <c r="W56" s="7"/>
      <c r="X56" s="7"/>
      <c r="Y56" s="7"/>
      <c r="Z56" s="7"/>
    </row>
    <row r="57" spans="1:26" ht="15.6"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6"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5.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25.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25.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25.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25.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25.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6"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6"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6"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6"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6"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6"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6"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6"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6"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6"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6"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6"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6"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6"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6"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6"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6"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6"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6"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6"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6"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6"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6"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6"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6"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6"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6"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6"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6"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6"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6"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6"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6"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6"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6"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6"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6"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6"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6"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6"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6"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6"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6"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6"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6"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6"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6"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6"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6"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6"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6"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6"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6"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6"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6"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6"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6"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6"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6"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6"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6"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6"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6"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6"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6"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6"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6"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6"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6"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6"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6"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6"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6"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6"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6"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6"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6"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6"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6"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6"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6"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6"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6"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6"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6"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6"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6"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6"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6"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6"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6"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6"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6"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6"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6"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6"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6"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6"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6"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6"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6"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6"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6"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6"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6"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6"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6"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6"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6"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6"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6"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6"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6"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6"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6"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6"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6"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6"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6"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6"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6"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6"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6"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6"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6"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6"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6"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6"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6"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6"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6"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6"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6"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6"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6"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6"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6"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6"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6"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6"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6"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6"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6"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6"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6"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6"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6"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6"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6"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6"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6"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6"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6"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6"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6"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6"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6"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6"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6"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6"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6"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6"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6"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6"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6"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6"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6"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6"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6"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6"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6"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6"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6"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6"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6"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6"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6"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6"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6"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6"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6"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6"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6"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6"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6"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6"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6"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6"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6"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6"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6"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6"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6"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6"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6"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6"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6"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6"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6"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6"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6"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6"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6"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6"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6"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6"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6"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6"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6"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6"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6"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6"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6"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6"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6"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6"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6"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6"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6"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6"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6"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6"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6"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6"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6"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6"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6"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6"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6"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6"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6"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6"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6"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6"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6"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6"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6"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6"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6"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6"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6"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6"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6"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6"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6"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6"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6"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6"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6"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6"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6"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6"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6"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6"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6"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6"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6"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6"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6"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6"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6"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6"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6"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6"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6"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6"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6"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6"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6"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6"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6"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6"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6"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6"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6"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6"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6"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6"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6"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6"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6"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6"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6"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6"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6"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6"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6"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6"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6"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6"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6"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6"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6"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6"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6"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6"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6"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6"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6"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6"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6"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6"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6"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6"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6"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6"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6"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6"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6"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6"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6"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6"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6"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6"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6"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6"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6"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6"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6"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6"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6"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6"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6"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6"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6"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6"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6"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6"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6"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6"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6"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6"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6"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6"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6"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6"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6"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6"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6"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6"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6"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6"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6"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6"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6"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6"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6"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6"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6"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6"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6"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6"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6"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6"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6"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6"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6"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6"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6"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6"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6"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6"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6"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6"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6"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6"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6"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6"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6"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6"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6"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6"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6"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6"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6"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6"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6"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6"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6"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6"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6"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6"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6"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6"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6"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6"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6"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6"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6"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6"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6"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6"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6"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6"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6"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6"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6"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6"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6"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6"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6"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6"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6"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6"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6"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6"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6"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6"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6"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6"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6"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6"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6"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6"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6"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6"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6"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6"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6"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6"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6"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6"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6"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6"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6"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6"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6"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6"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6"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6"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6"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6"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6"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6"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6"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6"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6"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6"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6"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6"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6"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6"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6"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6"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6"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6"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6"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6"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6"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6"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6"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6"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6"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6"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6"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6"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6"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6"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6"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6"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6"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6"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6"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6"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6"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6"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6"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6"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6"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6"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6"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6"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6"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6"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6"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6"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6"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6"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6"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6"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6"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6"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6"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6"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6"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6"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6"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6"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6"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6"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6"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6"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6"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6"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6"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6"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6"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6"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6"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6"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6"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6"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6"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6"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6"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6"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6"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6"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6"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6"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6"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6"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6"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6"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6"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6"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6"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6"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6"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6"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6"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6"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6"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6"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6"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6"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6"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6"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6"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6"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6"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6"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6"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6"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6"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6"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6"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6"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6"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6"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6"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6"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6"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6"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6"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6"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6"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6"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6"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6"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6"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6"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6"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6"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6"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6"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6"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6"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6"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6"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6"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6"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6"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6"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6"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6"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6"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6"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6"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6"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6"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6"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6"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6"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6"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6"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6"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6"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6"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6"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6"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6"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6"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6"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6"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6"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6"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6"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6"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6"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6"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6"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6"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6"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6"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6"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6"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6"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6"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6"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6"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6"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6"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6"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6"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6"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6"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6"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6"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6"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6"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6"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6"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6"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6"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6"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6"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6"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6"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6"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6"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6"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6"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6"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6"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6"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6"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6"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6"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6"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6"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6"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6"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6"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6"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6"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6"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6"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6"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6"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6"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6"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6"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6"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6"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6"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6"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6"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6"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6"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6"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6"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6"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6"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6"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6"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6"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6"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6"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6"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6"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6"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6"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6"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6"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6"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6"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6"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6"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6"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6"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6"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6"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6"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6"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6"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6"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6"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6"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6"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6"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6"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6"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6"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6"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6"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6"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6"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6"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6"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6"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6"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6"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6"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6"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6"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6"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6"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6"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6"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6"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6"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6"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6"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6"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6"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6"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6"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6"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6"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6"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6"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6"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6"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6"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6"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6"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6"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6"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6"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6"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6"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6"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6"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6"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6"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6"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6"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6"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6"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6"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6"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6"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6"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6"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6"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6"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6"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6"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6"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6"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6"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6"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6"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6"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6"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6"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6"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6"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6"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6"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6"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6"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6"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6"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6"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6"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6"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6"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6"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6"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6"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6"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6"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6"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6"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6"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6"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6"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6"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6"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6"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6"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6"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6"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6"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6"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6"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6"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6"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6"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6"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6"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6"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6"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6"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6"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6"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6"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6"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6"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6"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6"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6"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6"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6"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6"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6"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6"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6"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6"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6"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6"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6"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6"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6"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6"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6"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6"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6"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6"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6"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6"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6"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6"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6"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6"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6"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6"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6"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6"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6"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6"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6"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6"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6"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6"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6"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6"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6"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6"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6"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6"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6"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6"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6"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6"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6"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6"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6"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6"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6"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6"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6"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6"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6"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6"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6"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6"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6"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6"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6"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6"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6"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6"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6"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6"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6"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6"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6"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6"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6"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6"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6"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6"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6"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6"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6"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6"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6"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6"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6"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6"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6"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6"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6"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6"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6"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6"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6"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6"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6"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6"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6"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6"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6"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6"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6"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6"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6"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6"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6"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6"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6"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6"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6"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6"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6"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6"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6"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6"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6"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6"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6"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6"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6"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6"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6"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6"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6"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6"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6"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6"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6"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6"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6"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6"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6"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6"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6"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6"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6"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6"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6"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6"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6"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6"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6"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6"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6"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6"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6"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6"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6"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6"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6"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30">
    <mergeCell ref="A52:H52"/>
    <mergeCell ref="A54:H54"/>
    <mergeCell ref="A55:H55"/>
    <mergeCell ref="A56:H56"/>
    <mergeCell ref="A45:H45"/>
    <mergeCell ref="A47:J47"/>
    <mergeCell ref="A48:A49"/>
    <mergeCell ref="D48:F48"/>
    <mergeCell ref="G48:G49"/>
    <mergeCell ref="H48:I48"/>
    <mergeCell ref="J48:J49"/>
    <mergeCell ref="A38:H38"/>
    <mergeCell ref="A40:J40"/>
    <mergeCell ref="B48:C49"/>
    <mergeCell ref="B50:C50"/>
    <mergeCell ref="B51:C51"/>
    <mergeCell ref="B7:C7"/>
    <mergeCell ref="B8:C8"/>
    <mergeCell ref="B9:C9"/>
    <mergeCell ref="A10:H10"/>
    <mergeCell ref="A12:J12"/>
    <mergeCell ref="H5:I5"/>
    <mergeCell ref="J5:J6"/>
    <mergeCell ref="A1:J1"/>
    <mergeCell ref="A2:J2"/>
    <mergeCell ref="A4:J4"/>
    <mergeCell ref="A5:A6"/>
    <mergeCell ref="B5:C6"/>
    <mergeCell ref="D5:F5"/>
    <mergeCell ref="G5:G6"/>
  </mergeCells>
  <pageMargins left="0.75" right="0.75" top="1" bottom="1"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000"/>
  <sheetViews>
    <sheetView workbookViewId="0">
      <selection sqref="A1:E1"/>
    </sheetView>
  </sheetViews>
  <sheetFormatPr defaultColWidth="12.6640625" defaultRowHeight="15.75" customHeight="1" x14ac:dyDescent="0.25"/>
  <cols>
    <col min="1" max="1" width="4.33203125" customWidth="1"/>
    <col min="2" max="2" width="45.44140625" customWidth="1"/>
    <col min="3" max="3" width="31.44140625" customWidth="1"/>
    <col min="4" max="4" width="15.77734375" customWidth="1"/>
    <col min="5" max="5" width="12.21875" customWidth="1"/>
    <col min="6" max="26" width="7.6640625" customWidth="1"/>
  </cols>
  <sheetData>
    <row r="1" spans="1:8" ht="17.399999999999999" x14ac:dyDescent="0.3">
      <c r="A1" s="82" t="s">
        <v>0</v>
      </c>
      <c r="B1" s="61"/>
      <c r="C1" s="61"/>
      <c r="D1" s="61"/>
      <c r="E1" s="61"/>
    </row>
    <row r="2" spans="1:8" ht="13.8" x14ac:dyDescent="0.25">
      <c r="A2" s="83" t="s">
        <v>1</v>
      </c>
      <c r="B2" s="61"/>
      <c r="C2" s="61"/>
      <c r="D2" s="61"/>
      <c r="E2" s="61"/>
    </row>
    <row r="4" spans="1:8" ht="31.2" x14ac:dyDescent="0.25">
      <c r="A4" s="1" t="s">
        <v>2</v>
      </c>
      <c r="B4" s="1" t="s">
        <v>3</v>
      </c>
      <c r="C4" s="1" t="s">
        <v>4</v>
      </c>
      <c r="D4" s="1" t="s">
        <v>5</v>
      </c>
      <c r="E4" s="1" t="s">
        <v>7</v>
      </c>
      <c r="H4" s="2" t="s">
        <v>8</v>
      </c>
    </row>
    <row r="5" spans="1:8" ht="15.6" x14ac:dyDescent="0.3">
      <c r="A5" s="4">
        <v>1</v>
      </c>
      <c r="B5" s="5" t="s">
        <v>10</v>
      </c>
      <c r="C5" s="6" t="s">
        <v>12</v>
      </c>
      <c r="D5" s="12">
        <f>'RAB - Biaya Produksi'!I56</f>
        <v>21664500</v>
      </c>
      <c r="E5" s="15">
        <f>D5/'RAB - Biaya Produksi'!I56</f>
        <v>1</v>
      </c>
      <c r="H5" s="2" t="s">
        <v>21</v>
      </c>
    </row>
    <row r="6" spans="1:8" ht="15.6" x14ac:dyDescent="0.3">
      <c r="A6" s="4">
        <v>2</v>
      </c>
      <c r="B6" s="16" t="s">
        <v>22</v>
      </c>
      <c r="C6" s="6">
        <v>0</v>
      </c>
      <c r="D6" s="12">
        <v>0</v>
      </c>
      <c r="E6" s="15">
        <f>D6/'RAB - Biaya Produksi'!I56</f>
        <v>0</v>
      </c>
    </row>
    <row r="7" spans="1:8" ht="15.6" x14ac:dyDescent="0.3">
      <c r="A7" s="4">
        <v>3</v>
      </c>
      <c r="B7" s="5" t="s">
        <v>24</v>
      </c>
      <c r="C7" s="6">
        <v>0</v>
      </c>
      <c r="D7" s="12">
        <v>0</v>
      </c>
      <c r="E7" s="15">
        <f>D7/'RAB - Biaya Produksi'!I56</f>
        <v>0</v>
      </c>
    </row>
    <row r="8" spans="1:8" ht="15.6" x14ac:dyDescent="0.3">
      <c r="A8" s="79" t="s">
        <v>29</v>
      </c>
      <c r="B8" s="72"/>
      <c r="C8" s="66"/>
      <c r="D8" s="18">
        <f>SUM(D5:D7)</f>
        <v>21664500</v>
      </c>
      <c r="E8" s="20">
        <f>D8/'RAB - Biaya Produksi'!I56</f>
        <v>1</v>
      </c>
    </row>
    <row r="9" spans="1:8" ht="15.6" x14ac:dyDescent="0.3">
      <c r="A9" s="7"/>
      <c r="B9" s="7"/>
      <c r="C9" s="7"/>
      <c r="D9" s="7"/>
      <c r="E9" s="7"/>
    </row>
    <row r="10" spans="1:8" ht="15.6" x14ac:dyDescent="0.3">
      <c r="A10" s="7"/>
      <c r="B10" s="7"/>
      <c r="C10" s="7"/>
      <c r="D10" s="7"/>
      <c r="E10" s="7"/>
    </row>
    <row r="13" spans="1:8" ht="27.75" customHeight="1" x14ac:dyDescent="0.25"/>
    <row r="14" spans="1:8" ht="27.75" customHeight="1" x14ac:dyDescent="0.25"/>
    <row r="15" spans="1:8" ht="27.75" customHeight="1"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row r="30" ht="13.2" x14ac:dyDescent="0.25"/>
    <row r="31" ht="13.2" x14ac:dyDescent="0.25"/>
    <row r="32" ht="13.2" x14ac:dyDescent="0.25"/>
    <row r="33" ht="13.2" x14ac:dyDescent="0.25"/>
    <row r="34" ht="13.2" x14ac:dyDescent="0.25"/>
    <row r="35" ht="13.2" x14ac:dyDescent="0.25"/>
    <row r="36" ht="13.2" x14ac:dyDescent="0.25"/>
    <row r="37" ht="13.2" x14ac:dyDescent="0.25"/>
    <row r="38" ht="13.2" x14ac:dyDescent="0.25"/>
    <row r="39" ht="13.2" x14ac:dyDescent="0.25"/>
    <row r="40" ht="13.2" x14ac:dyDescent="0.25"/>
    <row r="41" ht="13.2" x14ac:dyDescent="0.25"/>
    <row r="42" ht="13.2" x14ac:dyDescent="0.25"/>
    <row r="43" ht="13.2" x14ac:dyDescent="0.25"/>
    <row r="44" ht="13.2" x14ac:dyDescent="0.25"/>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mergeCells count="3">
    <mergeCell ref="A1:E1"/>
    <mergeCell ref="A2:E2"/>
    <mergeCell ref="A8:C8"/>
  </mergeCells>
  <pageMargins left="0.75" right="0.75" top="1" bottom="1"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tabSelected="1" workbookViewId="0">
      <selection sqref="A1:D1"/>
    </sheetView>
  </sheetViews>
  <sheetFormatPr defaultColWidth="12.6640625" defaultRowHeight="15.75" customHeight="1" x14ac:dyDescent="0.25"/>
  <cols>
    <col min="1" max="1" width="37.77734375" customWidth="1"/>
    <col min="2" max="2" width="38.44140625" customWidth="1"/>
    <col min="3" max="3" width="40.44140625" customWidth="1"/>
    <col min="4" max="4" width="26.6640625" customWidth="1"/>
    <col min="5" max="26" width="7.6640625" customWidth="1"/>
  </cols>
  <sheetData>
    <row r="1" spans="1:26" ht="13.8" x14ac:dyDescent="0.3">
      <c r="A1" s="84" t="s">
        <v>138</v>
      </c>
      <c r="B1" s="61"/>
      <c r="C1" s="61"/>
      <c r="D1" s="61"/>
      <c r="E1" s="32"/>
      <c r="F1" s="32"/>
      <c r="G1" s="32"/>
      <c r="H1" s="32"/>
      <c r="I1" s="32"/>
      <c r="J1" s="32"/>
      <c r="K1" s="32"/>
      <c r="L1" s="32"/>
      <c r="M1" s="32"/>
      <c r="N1" s="32"/>
      <c r="O1" s="32"/>
      <c r="P1" s="32"/>
      <c r="Q1" s="32"/>
      <c r="R1" s="32"/>
      <c r="S1" s="32"/>
      <c r="T1" s="32"/>
      <c r="U1" s="32"/>
      <c r="V1" s="32"/>
      <c r="W1" s="32"/>
      <c r="X1" s="32"/>
      <c r="Y1" s="32"/>
      <c r="Z1" s="32"/>
    </row>
    <row r="2" spans="1:26" ht="13.8" x14ac:dyDescent="0.3">
      <c r="A2" s="85" t="s">
        <v>146</v>
      </c>
      <c r="B2" s="61"/>
      <c r="C2" s="61"/>
      <c r="D2" s="61"/>
      <c r="E2" s="32"/>
      <c r="F2" s="32"/>
      <c r="G2" s="32"/>
      <c r="H2" s="32"/>
      <c r="I2" s="32"/>
      <c r="J2" s="32"/>
      <c r="K2" s="32"/>
      <c r="L2" s="32"/>
      <c r="M2" s="32"/>
      <c r="N2" s="32"/>
      <c r="O2" s="32"/>
      <c r="P2" s="32"/>
      <c r="Q2" s="32"/>
      <c r="R2" s="32"/>
      <c r="S2" s="32"/>
      <c r="T2" s="32"/>
      <c r="U2" s="32"/>
      <c r="V2" s="32"/>
      <c r="W2" s="32"/>
      <c r="X2" s="32"/>
      <c r="Y2" s="32"/>
      <c r="Z2" s="32"/>
    </row>
    <row r="3" spans="1:26" ht="15.6" x14ac:dyDescent="0.3">
      <c r="A3" s="33"/>
      <c r="B3" s="33"/>
      <c r="C3" s="33"/>
      <c r="D3" s="33"/>
      <c r="E3" s="32"/>
      <c r="F3" s="32"/>
      <c r="G3" s="32"/>
      <c r="H3" s="32"/>
      <c r="I3" s="32"/>
      <c r="J3" s="32"/>
      <c r="K3" s="32"/>
      <c r="L3" s="32"/>
      <c r="M3" s="32"/>
      <c r="N3" s="32"/>
      <c r="O3" s="32"/>
      <c r="P3" s="32"/>
      <c r="Q3" s="32"/>
      <c r="R3" s="32"/>
      <c r="S3" s="32"/>
      <c r="T3" s="32"/>
      <c r="U3" s="32"/>
      <c r="V3" s="32"/>
      <c r="W3" s="32"/>
      <c r="X3" s="32"/>
      <c r="Y3" s="32"/>
      <c r="Z3" s="32"/>
    </row>
    <row r="4" spans="1:26" ht="13.8" x14ac:dyDescent="0.3">
      <c r="A4" s="86" t="s">
        <v>153</v>
      </c>
      <c r="B4" s="61"/>
      <c r="C4" s="61"/>
      <c r="D4" s="61"/>
      <c r="E4" s="32"/>
      <c r="F4" s="32"/>
      <c r="G4" s="32"/>
      <c r="H4" s="32"/>
      <c r="I4" s="32"/>
      <c r="J4" s="32"/>
      <c r="K4" s="32"/>
      <c r="L4" s="32"/>
      <c r="M4" s="32"/>
      <c r="N4" s="32"/>
      <c r="O4" s="32"/>
      <c r="P4" s="32"/>
      <c r="Q4" s="32"/>
      <c r="R4" s="32"/>
      <c r="S4" s="32"/>
      <c r="T4" s="32"/>
      <c r="U4" s="32"/>
      <c r="V4" s="32"/>
      <c r="W4" s="32"/>
      <c r="X4" s="32"/>
      <c r="Y4" s="32"/>
      <c r="Z4" s="32"/>
    </row>
    <row r="5" spans="1:26" ht="31.2" x14ac:dyDescent="0.3">
      <c r="A5" s="34" t="s">
        <v>156</v>
      </c>
      <c r="B5" s="36">
        <f>'RAB - Biaya Produksi'!I56</f>
        <v>21664500</v>
      </c>
      <c r="C5" s="33"/>
      <c r="D5" s="33"/>
      <c r="E5" s="32"/>
      <c r="F5" s="32"/>
      <c r="G5" s="32"/>
      <c r="H5" s="32"/>
      <c r="I5" s="32"/>
      <c r="J5" s="32"/>
      <c r="K5" s="32"/>
      <c r="L5" s="32"/>
      <c r="M5" s="32"/>
      <c r="N5" s="32"/>
      <c r="O5" s="32"/>
      <c r="P5" s="32"/>
      <c r="Q5" s="32"/>
      <c r="R5" s="32"/>
      <c r="S5" s="32"/>
      <c r="T5" s="32"/>
      <c r="U5" s="32"/>
      <c r="V5" s="32"/>
      <c r="W5" s="32"/>
      <c r="X5" s="32"/>
      <c r="Y5" s="32"/>
      <c r="Z5" s="32"/>
    </row>
    <row r="6" spans="1:26" ht="31.2" x14ac:dyDescent="0.3">
      <c r="A6" s="34" t="s">
        <v>162</v>
      </c>
      <c r="B6" s="36">
        <f>'RAB - Biaya Produksi'!I38</f>
        <v>5033000</v>
      </c>
      <c r="C6" s="33"/>
      <c r="D6" s="33"/>
      <c r="E6" s="32"/>
      <c r="F6" s="32"/>
      <c r="G6" s="32"/>
      <c r="H6" s="32"/>
      <c r="I6" s="32"/>
      <c r="J6" s="32"/>
      <c r="K6" s="32"/>
      <c r="L6" s="32"/>
      <c r="M6" s="32"/>
      <c r="N6" s="32"/>
      <c r="O6" s="32"/>
      <c r="P6" s="32"/>
      <c r="Q6" s="32"/>
      <c r="R6" s="32"/>
      <c r="S6" s="32"/>
      <c r="T6" s="32"/>
      <c r="U6" s="32"/>
      <c r="V6" s="32"/>
      <c r="W6" s="32"/>
      <c r="X6" s="32"/>
      <c r="Y6" s="32"/>
      <c r="Z6" s="32"/>
    </row>
    <row r="7" spans="1:26" ht="31.2" x14ac:dyDescent="0.3">
      <c r="A7" s="34" t="s">
        <v>163</v>
      </c>
      <c r="B7" s="36">
        <f>'RAB - Biaya Produksi'!I10</f>
        <v>13962000</v>
      </c>
      <c r="C7" s="33"/>
      <c r="D7" s="33"/>
      <c r="E7" s="32"/>
      <c r="F7" s="32"/>
      <c r="G7" s="32"/>
      <c r="H7" s="32"/>
      <c r="I7" s="32"/>
      <c r="J7" s="32"/>
      <c r="K7" s="32"/>
      <c r="L7" s="32"/>
      <c r="M7" s="32"/>
      <c r="N7" s="32"/>
      <c r="O7" s="32"/>
      <c r="P7" s="32"/>
      <c r="Q7" s="32"/>
      <c r="R7" s="32"/>
      <c r="S7" s="32"/>
      <c r="T7" s="32"/>
      <c r="U7" s="32"/>
      <c r="V7" s="32"/>
      <c r="W7" s="32"/>
      <c r="X7" s="32"/>
      <c r="Y7" s="32"/>
      <c r="Z7" s="32"/>
    </row>
    <row r="8" spans="1:26" ht="15.6" x14ac:dyDescent="0.3">
      <c r="A8" s="33"/>
      <c r="B8" s="33"/>
      <c r="C8" s="33"/>
      <c r="D8" s="33"/>
      <c r="E8" s="32"/>
      <c r="F8" s="32"/>
      <c r="G8" s="32"/>
      <c r="H8" s="32"/>
      <c r="I8" s="32"/>
      <c r="J8" s="32"/>
      <c r="K8" s="32"/>
      <c r="L8" s="32"/>
      <c r="M8" s="32"/>
      <c r="N8" s="32"/>
      <c r="O8" s="32"/>
      <c r="P8" s="32"/>
      <c r="Q8" s="32"/>
      <c r="R8" s="32"/>
      <c r="S8" s="32"/>
      <c r="T8" s="32"/>
      <c r="U8" s="32"/>
      <c r="V8" s="32"/>
      <c r="W8" s="32"/>
      <c r="X8" s="32"/>
      <c r="Y8" s="32"/>
      <c r="Z8" s="32"/>
    </row>
    <row r="9" spans="1:26" ht="15.6" x14ac:dyDescent="0.25">
      <c r="A9" s="37" t="s">
        <v>165</v>
      </c>
      <c r="B9" s="37" t="s">
        <v>167</v>
      </c>
      <c r="C9" s="37" t="s">
        <v>168</v>
      </c>
      <c r="D9" s="37" t="s">
        <v>170</v>
      </c>
      <c r="E9" s="32"/>
      <c r="F9" s="32"/>
      <c r="G9" s="32"/>
      <c r="H9" s="32"/>
      <c r="I9" s="32"/>
      <c r="J9" s="32"/>
      <c r="K9" s="32"/>
      <c r="L9" s="32"/>
      <c r="M9" s="32"/>
      <c r="N9" s="32"/>
      <c r="O9" s="32"/>
      <c r="P9" s="32"/>
      <c r="Q9" s="32"/>
      <c r="R9" s="32"/>
      <c r="S9" s="32"/>
      <c r="T9" s="32"/>
      <c r="U9" s="32"/>
      <c r="V9" s="32"/>
      <c r="W9" s="32"/>
      <c r="X9" s="32"/>
      <c r="Y9" s="32"/>
      <c r="Z9" s="32"/>
    </row>
    <row r="10" spans="1:26" ht="15.6" x14ac:dyDescent="0.3">
      <c r="A10" s="39" t="s">
        <v>172</v>
      </c>
      <c r="B10" s="40">
        <v>0.3</v>
      </c>
      <c r="C10" s="41" t="s">
        <v>174</v>
      </c>
      <c r="D10" s="39"/>
      <c r="E10" s="32"/>
      <c r="F10" s="32"/>
      <c r="G10" s="32"/>
      <c r="H10" s="32"/>
      <c r="I10" s="32"/>
      <c r="J10" s="32"/>
      <c r="K10" s="32"/>
      <c r="L10" s="32"/>
      <c r="M10" s="32"/>
      <c r="N10" s="32"/>
      <c r="O10" s="32"/>
      <c r="P10" s="32"/>
      <c r="Q10" s="32"/>
      <c r="R10" s="32"/>
      <c r="S10" s="32"/>
      <c r="T10" s="32"/>
      <c r="U10" s="32"/>
      <c r="V10" s="32"/>
      <c r="W10" s="32"/>
      <c r="X10" s="32"/>
      <c r="Y10" s="32"/>
      <c r="Z10" s="32"/>
    </row>
    <row r="11" spans="1:26" ht="31.2" x14ac:dyDescent="0.3">
      <c r="A11" s="39" t="s">
        <v>176</v>
      </c>
      <c r="B11" s="40">
        <v>0.5</v>
      </c>
      <c r="C11" s="41" t="s">
        <v>177</v>
      </c>
      <c r="D11" s="39"/>
      <c r="E11" s="32"/>
      <c r="F11" s="32"/>
      <c r="G11" s="32"/>
      <c r="H11" s="32"/>
      <c r="I11" s="32"/>
      <c r="J11" s="32"/>
      <c r="K11" s="32"/>
      <c r="L11" s="32"/>
      <c r="M11" s="32"/>
      <c r="N11" s="32"/>
      <c r="O11" s="32"/>
      <c r="P11" s="32"/>
      <c r="Q11" s="32"/>
      <c r="R11" s="32"/>
      <c r="S11" s="32"/>
      <c r="T11" s="32"/>
      <c r="U11" s="32"/>
      <c r="V11" s="32"/>
      <c r="W11" s="32"/>
      <c r="X11" s="32"/>
      <c r="Y11" s="32"/>
      <c r="Z11" s="32"/>
    </row>
    <row r="12" spans="1:26" ht="31.2" x14ac:dyDescent="0.3">
      <c r="A12" s="39" t="s">
        <v>178</v>
      </c>
      <c r="B12" s="40">
        <v>0.25</v>
      </c>
      <c r="C12" s="41" t="s">
        <v>180</v>
      </c>
      <c r="D12" s="39"/>
      <c r="E12" s="32"/>
      <c r="F12" s="32"/>
      <c r="G12" s="32"/>
      <c r="H12" s="32"/>
      <c r="I12" s="32"/>
      <c r="J12" s="32"/>
      <c r="K12" s="32"/>
      <c r="L12" s="32"/>
      <c r="M12" s="32"/>
      <c r="N12" s="32"/>
      <c r="O12" s="32"/>
      <c r="P12" s="32"/>
      <c r="Q12" s="32"/>
      <c r="R12" s="32"/>
      <c r="S12" s="32"/>
      <c r="T12" s="32"/>
      <c r="U12" s="32"/>
      <c r="V12" s="32"/>
      <c r="W12" s="32"/>
      <c r="X12" s="32"/>
      <c r="Y12" s="32"/>
      <c r="Z12" s="32"/>
    </row>
    <row r="13" spans="1:26" ht="15.6" x14ac:dyDescent="0.3">
      <c r="A13" s="39"/>
      <c r="B13" s="39"/>
      <c r="C13" s="39"/>
      <c r="D13" s="39"/>
      <c r="E13" s="32"/>
      <c r="F13" s="32"/>
      <c r="G13" s="32"/>
      <c r="H13" s="32"/>
      <c r="I13" s="32"/>
      <c r="J13" s="32"/>
      <c r="K13" s="32"/>
      <c r="L13" s="32"/>
      <c r="M13" s="32"/>
      <c r="N13" s="32"/>
      <c r="O13" s="32"/>
      <c r="P13" s="32"/>
      <c r="Q13" s="32"/>
      <c r="R13" s="32"/>
      <c r="S13" s="32"/>
      <c r="T13" s="32"/>
      <c r="U13" s="32"/>
      <c r="V13" s="32"/>
      <c r="W13" s="32"/>
      <c r="X13" s="32"/>
      <c r="Y13" s="32"/>
      <c r="Z13" s="32"/>
    </row>
    <row r="14" spans="1:26" ht="60" customHeight="1" x14ac:dyDescent="0.25">
      <c r="A14" s="42" t="s">
        <v>183</v>
      </c>
      <c r="B14" s="42" t="s">
        <v>185</v>
      </c>
      <c r="C14" s="42" t="s">
        <v>186</v>
      </c>
      <c r="D14" s="44">
        <f>B5*(1+B10)</f>
        <v>28163850</v>
      </c>
      <c r="E14" s="32"/>
      <c r="F14" s="32"/>
      <c r="G14" s="32"/>
      <c r="H14" s="32"/>
      <c r="I14" s="32"/>
      <c r="J14" s="32"/>
      <c r="K14" s="32"/>
      <c r="L14" s="32"/>
      <c r="M14" s="32"/>
      <c r="N14" s="32"/>
      <c r="O14" s="32"/>
      <c r="P14" s="32"/>
      <c r="Q14" s="32"/>
      <c r="R14" s="32"/>
      <c r="S14" s="32"/>
      <c r="T14" s="32"/>
      <c r="U14" s="32"/>
      <c r="V14" s="32"/>
      <c r="W14" s="32"/>
      <c r="X14" s="32"/>
      <c r="Y14" s="32"/>
      <c r="Z14" s="32"/>
    </row>
    <row r="15" spans="1:26" ht="69.75" customHeight="1" x14ac:dyDescent="0.25">
      <c r="A15" s="42" t="s">
        <v>191</v>
      </c>
      <c r="B15" s="42" t="s">
        <v>192</v>
      </c>
      <c r="C15" s="42" t="s">
        <v>193</v>
      </c>
      <c r="D15" s="45" t="str">
        <f>"Setup: Rp"&amp;TEXT(B6*0.5,"#,##0")&amp;" | Bulanan: Rp"&amp;TEXT((B7/12)*(1+B12),"#,##0")</f>
        <v>Setup: Rp2516500,0 | Bulanan: Rp1454375,0</v>
      </c>
      <c r="E15" s="32"/>
      <c r="F15" s="32"/>
      <c r="G15" s="32"/>
      <c r="H15" s="32"/>
      <c r="I15" s="32"/>
      <c r="J15" s="32"/>
      <c r="K15" s="32"/>
      <c r="L15" s="32"/>
      <c r="M15" s="32"/>
      <c r="N15" s="32"/>
      <c r="O15" s="32"/>
      <c r="P15" s="32"/>
      <c r="Q15" s="32"/>
      <c r="R15" s="32"/>
      <c r="S15" s="32"/>
      <c r="T15" s="32"/>
      <c r="U15" s="32"/>
      <c r="V15" s="32"/>
      <c r="W15" s="32"/>
      <c r="X15" s="32"/>
      <c r="Y15" s="32"/>
      <c r="Z15" s="32"/>
    </row>
    <row r="16" spans="1:26" ht="60" customHeight="1" x14ac:dyDescent="0.25">
      <c r="A16" s="42" t="s">
        <v>203</v>
      </c>
      <c r="B16" s="42" t="s">
        <v>204</v>
      </c>
      <c r="C16" s="42" t="s">
        <v>205</v>
      </c>
      <c r="D16" s="44">
        <f>B5*(1+B11)</f>
        <v>32496750</v>
      </c>
      <c r="E16" s="32"/>
      <c r="F16" s="32"/>
      <c r="G16" s="32"/>
      <c r="H16" s="32"/>
      <c r="I16" s="32"/>
      <c r="J16" s="32"/>
      <c r="K16" s="32"/>
      <c r="L16" s="32"/>
      <c r="M16" s="32"/>
      <c r="N16" s="32"/>
      <c r="O16" s="32"/>
      <c r="P16" s="32"/>
      <c r="Q16" s="32"/>
      <c r="R16" s="32"/>
      <c r="S16" s="32"/>
      <c r="T16" s="32"/>
      <c r="U16" s="32"/>
      <c r="V16" s="32"/>
      <c r="W16" s="32"/>
      <c r="X16" s="32"/>
      <c r="Y16" s="32"/>
      <c r="Z16" s="32"/>
    </row>
    <row r="17" spans="1:26" ht="15.6" x14ac:dyDescent="0.3">
      <c r="A17" s="33"/>
      <c r="B17" s="33"/>
      <c r="C17" s="33"/>
      <c r="D17" s="33"/>
      <c r="E17" s="32"/>
      <c r="F17" s="32"/>
      <c r="G17" s="32"/>
      <c r="H17" s="32"/>
      <c r="I17" s="32"/>
      <c r="J17" s="32"/>
      <c r="K17" s="32"/>
      <c r="L17" s="32"/>
      <c r="M17" s="32"/>
      <c r="N17" s="32"/>
      <c r="O17" s="32"/>
      <c r="P17" s="32"/>
      <c r="Q17" s="32"/>
      <c r="R17" s="32"/>
      <c r="S17" s="32"/>
      <c r="T17" s="32"/>
      <c r="U17" s="32"/>
      <c r="V17" s="32"/>
      <c r="W17" s="32"/>
      <c r="X17" s="32"/>
      <c r="Y17" s="32"/>
      <c r="Z17" s="32"/>
    </row>
    <row r="18" spans="1:26" ht="15.6" x14ac:dyDescent="0.3">
      <c r="A18" s="33"/>
      <c r="B18" s="33"/>
      <c r="C18" s="33"/>
      <c r="D18" s="33"/>
      <c r="E18" s="32"/>
      <c r="F18" s="32"/>
      <c r="G18" s="32"/>
      <c r="H18" s="32"/>
      <c r="I18" s="32"/>
      <c r="J18" s="32"/>
      <c r="K18" s="32"/>
      <c r="L18" s="32"/>
      <c r="M18" s="32"/>
      <c r="N18" s="32"/>
      <c r="O18" s="32"/>
      <c r="P18" s="32"/>
      <c r="Q18" s="32"/>
      <c r="R18" s="32"/>
      <c r="S18" s="32"/>
      <c r="T18" s="32"/>
      <c r="U18" s="32"/>
      <c r="V18" s="32"/>
      <c r="W18" s="32"/>
      <c r="X18" s="32"/>
      <c r="Y18" s="32"/>
      <c r="Z18" s="32"/>
    </row>
    <row r="19" spans="1:26" ht="31.5" customHeight="1" x14ac:dyDescent="0.3">
      <c r="A19" s="33"/>
      <c r="B19" s="33"/>
      <c r="C19" s="33"/>
      <c r="D19" s="33"/>
      <c r="E19" s="32"/>
      <c r="F19" s="32"/>
      <c r="G19" s="32"/>
      <c r="H19" s="32"/>
      <c r="I19" s="32"/>
      <c r="J19" s="32"/>
      <c r="K19" s="32"/>
      <c r="L19" s="32"/>
      <c r="M19" s="32"/>
      <c r="N19" s="32"/>
      <c r="O19" s="32"/>
      <c r="P19" s="32"/>
      <c r="Q19" s="32"/>
      <c r="R19" s="32"/>
      <c r="S19" s="32"/>
      <c r="T19" s="32"/>
      <c r="U19" s="32"/>
      <c r="V19" s="32"/>
      <c r="W19" s="32"/>
      <c r="X19" s="32"/>
      <c r="Y19" s="32"/>
      <c r="Z19" s="32"/>
    </row>
    <row r="20" spans="1:26" ht="31.5" customHeight="1" x14ac:dyDescent="0.3">
      <c r="A20" s="33"/>
      <c r="B20" s="33"/>
      <c r="C20" s="33"/>
      <c r="D20" s="33"/>
      <c r="E20" s="32"/>
      <c r="F20" s="32"/>
      <c r="G20" s="32"/>
      <c r="H20" s="32"/>
      <c r="I20" s="32"/>
      <c r="J20" s="32"/>
      <c r="K20" s="32"/>
      <c r="L20" s="32"/>
      <c r="M20" s="32"/>
      <c r="N20" s="32"/>
      <c r="O20" s="32"/>
      <c r="P20" s="32"/>
      <c r="Q20" s="32"/>
      <c r="R20" s="32"/>
      <c r="S20" s="32"/>
      <c r="T20" s="32"/>
      <c r="U20" s="32"/>
      <c r="V20" s="32"/>
      <c r="W20" s="32"/>
      <c r="X20" s="32"/>
      <c r="Y20" s="32"/>
      <c r="Z20" s="32"/>
    </row>
    <row r="21" spans="1:26" ht="31.5" customHeight="1" x14ac:dyDescent="0.3">
      <c r="A21" s="33"/>
      <c r="B21" s="33"/>
      <c r="C21" s="33"/>
      <c r="D21" s="33"/>
      <c r="E21" s="32"/>
      <c r="F21" s="32"/>
      <c r="G21" s="32"/>
      <c r="H21" s="32"/>
      <c r="I21" s="32"/>
      <c r="J21" s="32"/>
      <c r="K21" s="32"/>
      <c r="L21" s="32"/>
      <c r="M21" s="32"/>
      <c r="N21" s="32"/>
      <c r="O21" s="32"/>
      <c r="P21" s="32"/>
      <c r="Q21" s="32"/>
      <c r="R21" s="32"/>
      <c r="S21" s="32"/>
      <c r="T21" s="32"/>
      <c r="U21" s="32"/>
      <c r="V21" s="32"/>
      <c r="W21" s="32"/>
      <c r="X21" s="32"/>
      <c r="Y21" s="32"/>
      <c r="Z21" s="32"/>
    </row>
    <row r="22" spans="1:26" ht="31.5" customHeight="1" x14ac:dyDescent="0.3">
      <c r="A22" s="33"/>
      <c r="B22" s="33"/>
      <c r="C22" s="33"/>
      <c r="D22" s="33"/>
      <c r="E22" s="32"/>
      <c r="F22" s="32"/>
      <c r="G22" s="32"/>
      <c r="H22" s="32"/>
      <c r="I22" s="32"/>
      <c r="J22" s="32"/>
      <c r="K22" s="32"/>
      <c r="L22" s="32"/>
      <c r="M22" s="32"/>
      <c r="N22" s="32"/>
      <c r="O22" s="32"/>
      <c r="P22" s="32"/>
      <c r="Q22" s="32"/>
      <c r="R22" s="32"/>
      <c r="S22" s="32"/>
      <c r="T22" s="32"/>
      <c r="U22" s="32"/>
      <c r="V22" s="32"/>
      <c r="W22" s="32"/>
      <c r="X22" s="32"/>
      <c r="Y22" s="32"/>
      <c r="Z22" s="32"/>
    </row>
    <row r="23" spans="1:26" ht="15.6" x14ac:dyDescent="0.3">
      <c r="A23" s="33"/>
      <c r="B23" s="33"/>
      <c r="C23" s="33"/>
      <c r="D23" s="33"/>
      <c r="E23" s="32"/>
      <c r="F23" s="32"/>
      <c r="G23" s="32"/>
      <c r="H23" s="32"/>
      <c r="I23" s="32"/>
      <c r="J23" s="32"/>
      <c r="K23" s="32"/>
      <c r="L23" s="32"/>
      <c r="M23" s="32"/>
      <c r="N23" s="32"/>
      <c r="O23" s="32"/>
      <c r="P23" s="32"/>
      <c r="Q23" s="32"/>
      <c r="R23" s="32"/>
      <c r="S23" s="32"/>
      <c r="T23" s="32"/>
      <c r="U23" s="32"/>
      <c r="V23" s="32"/>
      <c r="W23" s="32"/>
      <c r="X23" s="32"/>
      <c r="Y23" s="32"/>
      <c r="Z23" s="32"/>
    </row>
    <row r="24" spans="1:26" ht="15.6" x14ac:dyDescent="0.3">
      <c r="A24" s="33"/>
      <c r="B24" s="33"/>
      <c r="C24" s="33"/>
      <c r="D24" s="33"/>
      <c r="E24" s="32"/>
      <c r="F24" s="32"/>
      <c r="G24" s="32"/>
      <c r="H24" s="32"/>
      <c r="I24" s="32"/>
      <c r="J24" s="32"/>
      <c r="K24" s="32"/>
      <c r="L24" s="32"/>
      <c r="M24" s="32"/>
      <c r="N24" s="32"/>
      <c r="O24" s="32"/>
      <c r="P24" s="32"/>
      <c r="Q24" s="32"/>
      <c r="R24" s="32"/>
      <c r="S24" s="32"/>
      <c r="T24" s="32"/>
      <c r="U24" s="32"/>
      <c r="V24" s="32"/>
      <c r="W24" s="32"/>
      <c r="X24" s="32"/>
      <c r="Y24" s="32"/>
      <c r="Z24" s="32"/>
    </row>
    <row r="25" spans="1:26" ht="15.6" x14ac:dyDescent="0.3">
      <c r="A25" s="33"/>
      <c r="B25" s="33"/>
      <c r="C25" s="33"/>
      <c r="D25" s="33"/>
      <c r="E25" s="32"/>
      <c r="F25" s="32"/>
      <c r="G25" s="32"/>
      <c r="H25" s="32"/>
      <c r="I25" s="32"/>
      <c r="J25" s="32"/>
      <c r="K25" s="32"/>
      <c r="L25" s="32"/>
      <c r="M25" s="32"/>
      <c r="N25" s="32"/>
      <c r="O25" s="32"/>
      <c r="P25" s="32"/>
      <c r="Q25" s="32"/>
      <c r="R25" s="32"/>
      <c r="S25" s="32"/>
      <c r="T25" s="32"/>
      <c r="U25" s="32"/>
      <c r="V25" s="32"/>
      <c r="W25" s="32"/>
      <c r="X25" s="32"/>
      <c r="Y25" s="32"/>
      <c r="Z25" s="32"/>
    </row>
    <row r="26" spans="1:26" ht="13.2" x14ac:dyDescent="0.25">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13.2" x14ac:dyDescent="0.25">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13.2" x14ac:dyDescent="0.2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13.2" x14ac:dyDescent="0.25">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13.2" x14ac:dyDescent="0.2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13.2" x14ac:dyDescent="0.25">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13.2" x14ac:dyDescent="0.25">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13.2" x14ac:dyDescent="0.25">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13.2" x14ac:dyDescent="0.25">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3.2" x14ac:dyDescent="0.2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13.2" x14ac:dyDescent="0.2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13.2" x14ac:dyDescent="0.2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13.2" x14ac:dyDescent="0.25">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13.2" x14ac:dyDescent="0.25">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13.2" x14ac:dyDescent="0.2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13.2" x14ac:dyDescent="0.2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13.2" x14ac:dyDescent="0.2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13.2" x14ac:dyDescent="0.2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13.2" x14ac:dyDescent="0.2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13.2" x14ac:dyDescent="0.2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13.2" x14ac:dyDescent="0.25">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13.2" x14ac:dyDescent="0.25">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13.2" x14ac:dyDescent="0.25">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13.2" x14ac:dyDescent="0.2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13.2" x14ac:dyDescent="0.2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13.2" x14ac:dyDescent="0.25">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13.2" x14ac:dyDescent="0.25">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13.2" x14ac:dyDescent="0.25">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13.2"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13.2" x14ac:dyDescent="0.2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13.2" x14ac:dyDescent="0.25">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13.2" x14ac:dyDescent="0.25">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13.2" x14ac:dyDescent="0.2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3.2" x14ac:dyDescent="0.25">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3.2" x14ac:dyDescent="0.25">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3.2" x14ac:dyDescent="0.25">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3.2" x14ac:dyDescent="0.25">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3.2" x14ac:dyDescent="0.2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3.2" x14ac:dyDescent="0.2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3.2" x14ac:dyDescent="0.2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3.2" x14ac:dyDescent="0.25">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3.2" x14ac:dyDescent="0.25">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3.2" x14ac:dyDescent="0.25">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3.2" x14ac:dyDescent="0.25">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3.2" x14ac:dyDescent="0.25">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3.2" x14ac:dyDescent="0.25">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3.2" x14ac:dyDescent="0.25">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3.2" x14ac:dyDescent="0.25">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3.2" x14ac:dyDescent="0.25">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3.2" x14ac:dyDescent="0.2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13.2" x14ac:dyDescent="0.25">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3.2" x14ac:dyDescent="0.25">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3.2" x14ac:dyDescent="0.25">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13.2" x14ac:dyDescent="0.25">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13.2" x14ac:dyDescent="0.25">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3.2" x14ac:dyDescent="0.25">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3.2" x14ac:dyDescent="0.2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3.2" x14ac:dyDescent="0.25">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3.2" x14ac:dyDescent="0.25">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3.2" x14ac:dyDescent="0.2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3.2" x14ac:dyDescent="0.25">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3.2" x14ac:dyDescent="0.25">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3.2" x14ac:dyDescent="0.25">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3.2" x14ac:dyDescent="0.25">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3.2" x14ac:dyDescent="0.2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3.2" x14ac:dyDescent="0.25">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3.2" x14ac:dyDescent="0.25">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3.2" x14ac:dyDescent="0.25">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3.2" x14ac:dyDescent="0.2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13.2" x14ac:dyDescent="0.2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13.2" x14ac:dyDescent="0.25">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3.2" x14ac:dyDescent="0.25">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3.2" x14ac:dyDescent="0.2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3.2" x14ac:dyDescent="0.25">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3.2" x14ac:dyDescent="0.2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3.2" x14ac:dyDescent="0.25">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3.2" x14ac:dyDescent="0.2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3.2" x14ac:dyDescent="0.25">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3.2" x14ac:dyDescent="0.2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3.2" x14ac:dyDescent="0.2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3.2" x14ac:dyDescent="0.2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3.2" x14ac:dyDescent="0.25">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3.2" x14ac:dyDescent="0.25">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3.2" x14ac:dyDescent="0.25">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3.2" x14ac:dyDescent="0.25">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3.2" x14ac:dyDescent="0.25">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3.2" x14ac:dyDescent="0.25">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3.2" x14ac:dyDescent="0.25">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3.2" x14ac:dyDescent="0.25">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3.2" x14ac:dyDescent="0.2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3.2" x14ac:dyDescent="0.25">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3.2" x14ac:dyDescent="0.25">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3.2" x14ac:dyDescent="0.25">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3.2" x14ac:dyDescent="0.25">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3.2" x14ac:dyDescent="0.25">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3.2" x14ac:dyDescent="0.25">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3.2" x14ac:dyDescent="0.25">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3.2" x14ac:dyDescent="0.25">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3.2" x14ac:dyDescent="0.25">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3.2" x14ac:dyDescent="0.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3.2" x14ac:dyDescent="0.25">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3.2" x14ac:dyDescent="0.25">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3.2" x14ac:dyDescent="0.25">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3.2" x14ac:dyDescent="0.25">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3.2" x14ac:dyDescent="0.25">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3.2" x14ac:dyDescent="0.25">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3.2" x14ac:dyDescent="0.25">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3.2" x14ac:dyDescent="0.25">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3.2" x14ac:dyDescent="0.25">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3.2" x14ac:dyDescent="0.2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3.2" x14ac:dyDescent="0.25">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3.2" x14ac:dyDescent="0.25">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3.2" x14ac:dyDescent="0.25">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3.2" x14ac:dyDescent="0.25">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3.2" x14ac:dyDescent="0.25">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3.2" x14ac:dyDescent="0.25">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3.2" x14ac:dyDescent="0.25">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3.2" x14ac:dyDescent="0.25">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3.2" x14ac:dyDescent="0.25">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3.2" x14ac:dyDescent="0.2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3.2" x14ac:dyDescent="0.25">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3.2" x14ac:dyDescent="0.25">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3.2" x14ac:dyDescent="0.25">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3.2" x14ac:dyDescent="0.25">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3.2" x14ac:dyDescent="0.25">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3.2" x14ac:dyDescent="0.25">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3.2" x14ac:dyDescent="0.25">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3.2" x14ac:dyDescent="0.25">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3.2" x14ac:dyDescent="0.25">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3.2" x14ac:dyDescent="0.2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3.2" x14ac:dyDescent="0.2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3.2" x14ac:dyDescent="0.25">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3.2" x14ac:dyDescent="0.25">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3.2" x14ac:dyDescent="0.25">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3.2" x14ac:dyDescent="0.25">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3.2" x14ac:dyDescent="0.25">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3.2" x14ac:dyDescent="0.25">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3.2" x14ac:dyDescent="0.25">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3.2" x14ac:dyDescent="0.25">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3.2" x14ac:dyDescent="0.2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3.2" x14ac:dyDescent="0.25">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3.2" x14ac:dyDescent="0.25">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3.2" x14ac:dyDescent="0.2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3.2" x14ac:dyDescent="0.25">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3.2" x14ac:dyDescent="0.25">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3.2" x14ac:dyDescent="0.25">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3.2" x14ac:dyDescent="0.25">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3.2" x14ac:dyDescent="0.25">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3.2" x14ac:dyDescent="0.25">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3.2" x14ac:dyDescent="0.2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3.2" x14ac:dyDescent="0.25">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3.2" x14ac:dyDescent="0.25">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3.2" x14ac:dyDescent="0.25">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3.2" x14ac:dyDescent="0.25">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3.2" x14ac:dyDescent="0.25">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3.2" x14ac:dyDescent="0.25">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3.2" x14ac:dyDescent="0.25">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3.2" x14ac:dyDescent="0.25">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3.2" x14ac:dyDescent="0.25">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3.2" x14ac:dyDescent="0.2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3.2" x14ac:dyDescent="0.25">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3.2" x14ac:dyDescent="0.25">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3.2" x14ac:dyDescent="0.25">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3.2" x14ac:dyDescent="0.25">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3.2" x14ac:dyDescent="0.25">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3.2" x14ac:dyDescent="0.25">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3.2" x14ac:dyDescent="0.25">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3.2" x14ac:dyDescent="0.25">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3.2" x14ac:dyDescent="0.25">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3.2" x14ac:dyDescent="0.2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3.2" x14ac:dyDescent="0.25">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3.2" x14ac:dyDescent="0.25">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3.2" x14ac:dyDescent="0.25">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3.2" x14ac:dyDescent="0.25">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3.2" x14ac:dyDescent="0.25">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3.2" x14ac:dyDescent="0.25">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3.2" x14ac:dyDescent="0.25">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3.2" x14ac:dyDescent="0.25">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3.2" x14ac:dyDescent="0.25">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3.2" x14ac:dyDescent="0.2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3.2" x14ac:dyDescent="0.25">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3.2" x14ac:dyDescent="0.25">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3.2" x14ac:dyDescent="0.25">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3.2" x14ac:dyDescent="0.25">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3.2" x14ac:dyDescent="0.25">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3.2" x14ac:dyDescent="0.25">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3.2" x14ac:dyDescent="0.25">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3.2" x14ac:dyDescent="0.25">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3.2" x14ac:dyDescent="0.25">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3.2" x14ac:dyDescent="0.2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3.2" x14ac:dyDescent="0.25">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3.2" x14ac:dyDescent="0.25">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3.2" x14ac:dyDescent="0.25">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3.2" x14ac:dyDescent="0.25">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3.2" x14ac:dyDescent="0.25">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3.2" x14ac:dyDescent="0.25">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3.2" x14ac:dyDescent="0.25">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3.2" x14ac:dyDescent="0.25">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3.2" x14ac:dyDescent="0.25">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3.2" x14ac:dyDescent="0.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3.2" x14ac:dyDescent="0.25">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3.2" x14ac:dyDescent="0.25">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3.2" x14ac:dyDescent="0.25">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3.2" x14ac:dyDescent="0.25">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3.2" x14ac:dyDescent="0.25">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3.2" x14ac:dyDescent="0.25">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3.2" x14ac:dyDescent="0.25">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3.2" x14ac:dyDescent="0.25">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3.2" x14ac:dyDescent="0.25">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3.2" x14ac:dyDescent="0.2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3.2" x14ac:dyDescent="0.25">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3.2" x14ac:dyDescent="0.25">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3.2" x14ac:dyDescent="0.25">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3.2" x14ac:dyDescent="0.25">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3.2" x14ac:dyDescent="0.25">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3.2" x14ac:dyDescent="0.25">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3.2" x14ac:dyDescent="0.25">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3.2" x14ac:dyDescent="0.25">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3.2" x14ac:dyDescent="0.25">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3.2" x14ac:dyDescent="0.2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3.2" x14ac:dyDescent="0.25">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3.2" x14ac:dyDescent="0.25">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3.2" x14ac:dyDescent="0.25">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3.2" x14ac:dyDescent="0.25">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3.2" x14ac:dyDescent="0.25">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3.2" x14ac:dyDescent="0.25">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3.2" x14ac:dyDescent="0.25">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3.2" x14ac:dyDescent="0.25">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3.2" x14ac:dyDescent="0.25">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3.2" x14ac:dyDescent="0.2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3.2" x14ac:dyDescent="0.25">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3.2" x14ac:dyDescent="0.25">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3.2" x14ac:dyDescent="0.25">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3.2" x14ac:dyDescent="0.25">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3.2" x14ac:dyDescent="0.25">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3.2" x14ac:dyDescent="0.25">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3.2" x14ac:dyDescent="0.25">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3.2" x14ac:dyDescent="0.25">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3.2" x14ac:dyDescent="0.25">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3.2" x14ac:dyDescent="0.2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3.2" x14ac:dyDescent="0.25">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3.2" x14ac:dyDescent="0.25">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3.2" x14ac:dyDescent="0.25">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3.2" x14ac:dyDescent="0.25">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3.2" x14ac:dyDescent="0.25">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3.2" x14ac:dyDescent="0.25">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3.2" x14ac:dyDescent="0.25">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3.2" x14ac:dyDescent="0.25">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3.2" x14ac:dyDescent="0.25">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3.2" x14ac:dyDescent="0.2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3.2" x14ac:dyDescent="0.25">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3.2" x14ac:dyDescent="0.25">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3.2" x14ac:dyDescent="0.25">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3.2" x14ac:dyDescent="0.25">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3.2" x14ac:dyDescent="0.25">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3.2" x14ac:dyDescent="0.25">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3.2" x14ac:dyDescent="0.25">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3.2" x14ac:dyDescent="0.25">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3.2" x14ac:dyDescent="0.25">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3.2" x14ac:dyDescent="0.2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3.2" x14ac:dyDescent="0.25">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3.2" x14ac:dyDescent="0.25">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3.2" x14ac:dyDescent="0.25">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3.2" x14ac:dyDescent="0.25">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3.2" x14ac:dyDescent="0.25">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3.2" x14ac:dyDescent="0.25">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3.2" x14ac:dyDescent="0.25">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3.2" x14ac:dyDescent="0.25">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3.2" x14ac:dyDescent="0.25">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3.2" x14ac:dyDescent="0.2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3.2" x14ac:dyDescent="0.25">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3.2" x14ac:dyDescent="0.25">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3.2" x14ac:dyDescent="0.25">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3.2" x14ac:dyDescent="0.25">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3.2" x14ac:dyDescent="0.25">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3.2" x14ac:dyDescent="0.25">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3.2" x14ac:dyDescent="0.25">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3.2" x14ac:dyDescent="0.25">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3.2" x14ac:dyDescent="0.25">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3.2" x14ac:dyDescent="0.2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3.2" x14ac:dyDescent="0.25">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3.2" x14ac:dyDescent="0.25">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3.2" x14ac:dyDescent="0.25">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3.2" x14ac:dyDescent="0.25">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3.2" x14ac:dyDescent="0.25">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3.2" x14ac:dyDescent="0.25">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3.2" x14ac:dyDescent="0.25">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3.2" x14ac:dyDescent="0.25">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3.2" x14ac:dyDescent="0.25">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3.2" x14ac:dyDescent="0.2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3.2" x14ac:dyDescent="0.25">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3.2" x14ac:dyDescent="0.25">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3.2" x14ac:dyDescent="0.25">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3.2" x14ac:dyDescent="0.25">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3.2" x14ac:dyDescent="0.25">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3.2" x14ac:dyDescent="0.25">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3.2" x14ac:dyDescent="0.25">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3.2" x14ac:dyDescent="0.25">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3.2" x14ac:dyDescent="0.25">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3.2" x14ac:dyDescent="0.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3.2" x14ac:dyDescent="0.25">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3.2" x14ac:dyDescent="0.25">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3.2" x14ac:dyDescent="0.25">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3.2" x14ac:dyDescent="0.25">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3.2" x14ac:dyDescent="0.25">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3.2" x14ac:dyDescent="0.25">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3.2" x14ac:dyDescent="0.25">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3.2" x14ac:dyDescent="0.25">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3.2" x14ac:dyDescent="0.25">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3.2" x14ac:dyDescent="0.2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3.2" x14ac:dyDescent="0.25">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3.2" x14ac:dyDescent="0.25">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3.2" x14ac:dyDescent="0.25">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3.2" x14ac:dyDescent="0.25">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3.2" x14ac:dyDescent="0.25">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3.2" x14ac:dyDescent="0.25">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3.2" x14ac:dyDescent="0.25">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3.2" x14ac:dyDescent="0.25">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3.2" x14ac:dyDescent="0.25">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3.2" x14ac:dyDescent="0.2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3.2" x14ac:dyDescent="0.25">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3.2" x14ac:dyDescent="0.25">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3.2" x14ac:dyDescent="0.25">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3.2" x14ac:dyDescent="0.25">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3.2" x14ac:dyDescent="0.25">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3.2" x14ac:dyDescent="0.25">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3.2" x14ac:dyDescent="0.25">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3.2" x14ac:dyDescent="0.25">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3.2" x14ac:dyDescent="0.25">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3.2" x14ac:dyDescent="0.2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3.2" x14ac:dyDescent="0.25">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3.2" x14ac:dyDescent="0.25">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3.2" x14ac:dyDescent="0.25">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3.2" x14ac:dyDescent="0.25">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3.2" x14ac:dyDescent="0.25">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3.2" x14ac:dyDescent="0.25">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3.2" x14ac:dyDescent="0.25">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3.2" x14ac:dyDescent="0.25">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3.2" x14ac:dyDescent="0.25">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3.2" x14ac:dyDescent="0.2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3.2" x14ac:dyDescent="0.25">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3.2" x14ac:dyDescent="0.25">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3.2" x14ac:dyDescent="0.25">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3.2" x14ac:dyDescent="0.25">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3.2" x14ac:dyDescent="0.25">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3.2" x14ac:dyDescent="0.25">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3.2" x14ac:dyDescent="0.25">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3.2" x14ac:dyDescent="0.25">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3.2" x14ac:dyDescent="0.25">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3.2" x14ac:dyDescent="0.2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3.2" x14ac:dyDescent="0.25">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3.2" x14ac:dyDescent="0.25">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3.2" x14ac:dyDescent="0.25">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3.2" x14ac:dyDescent="0.25">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3.2" x14ac:dyDescent="0.25">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3.2" x14ac:dyDescent="0.25">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3.2" x14ac:dyDescent="0.25">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3.2" x14ac:dyDescent="0.25">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3.2" x14ac:dyDescent="0.25">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3.2" x14ac:dyDescent="0.2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3.2" x14ac:dyDescent="0.25">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3.2" x14ac:dyDescent="0.25">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3.2" x14ac:dyDescent="0.25">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3.2" x14ac:dyDescent="0.25">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3.2" x14ac:dyDescent="0.25">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3.2" x14ac:dyDescent="0.25">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3.2" x14ac:dyDescent="0.25">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3.2" x14ac:dyDescent="0.25">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3.2" x14ac:dyDescent="0.25">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3.2" x14ac:dyDescent="0.2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3.2" x14ac:dyDescent="0.25">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3.2" x14ac:dyDescent="0.25">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3.2" x14ac:dyDescent="0.25">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3.2" x14ac:dyDescent="0.25">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3.2" x14ac:dyDescent="0.25">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3.2" x14ac:dyDescent="0.25">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3.2" x14ac:dyDescent="0.25">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3.2" x14ac:dyDescent="0.25">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3.2" x14ac:dyDescent="0.25">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3.2" x14ac:dyDescent="0.2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3.2" x14ac:dyDescent="0.25">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3.2" x14ac:dyDescent="0.25">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3.2" x14ac:dyDescent="0.25">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3.2" x14ac:dyDescent="0.25">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3.2" x14ac:dyDescent="0.25">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3.2" x14ac:dyDescent="0.25">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3.2" x14ac:dyDescent="0.25">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3.2" x14ac:dyDescent="0.25">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3.2" x14ac:dyDescent="0.25">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3.2" x14ac:dyDescent="0.2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3.2" x14ac:dyDescent="0.25">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3.2" x14ac:dyDescent="0.25">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3.2" x14ac:dyDescent="0.25">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3.2" x14ac:dyDescent="0.25">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3.2" x14ac:dyDescent="0.25">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3.2" x14ac:dyDescent="0.25">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3.2" x14ac:dyDescent="0.25">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3.2" x14ac:dyDescent="0.25">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3.2" x14ac:dyDescent="0.25">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3.2" x14ac:dyDescent="0.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3.2" x14ac:dyDescent="0.25">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3.2" x14ac:dyDescent="0.25">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3.2" x14ac:dyDescent="0.25">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3.2" x14ac:dyDescent="0.25">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3.2" x14ac:dyDescent="0.25">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3.2" x14ac:dyDescent="0.25">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3.2" x14ac:dyDescent="0.25">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3.2" x14ac:dyDescent="0.25">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3.2" x14ac:dyDescent="0.25">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3.2" x14ac:dyDescent="0.2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3.2" x14ac:dyDescent="0.25">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3.2" x14ac:dyDescent="0.25">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3.2" x14ac:dyDescent="0.25">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3.2" x14ac:dyDescent="0.25">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3.2" x14ac:dyDescent="0.25">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3.2" x14ac:dyDescent="0.25">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3.2" x14ac:dyDescent="0.25">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3.2" x14ac:dyDescent="0.25">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3.2" x14ac:dyDescent="0.25">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3.2" x14ac:dyDescent="0.2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3.2" x14ac:dyDescent="0.25">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3.2" x14ac:dyDescent="0.25">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3.2" x14ac:dyDescent="0.25">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3.2" x14ac:dyDescent="0.25">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3.2" x14ac:dyDescent="0.25">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3.2" x14ac:dyDescent="0.25">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3.2" x14ac:dyDescent="0.25">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3.2" x14ac:dyDescent="0.25">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3.2" x14ac:dyDescent="0.25">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3.2" x14ac:dyDescent="0.2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3.2" x14ac:dyDescent="0.25">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3.2" x14ac:dyDescent="0.25">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3.2" x14ac:dyDescent="0.25">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3.2" x14ac:dyDescent="0.25">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3.2" x14ac:dyDescent="0.25">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3.2" x14ac:dyDescent="0.25">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3.2" x14ac:dyDescent="0.25">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3.2" x14ac:dyDescent="0.25">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3.2" x14ac:dyDescent="0.25">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3.2" x14ac:dyDescent="0.2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3.2" x14ac:dyDescent="0.25">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3.2" x14ac:dyDescent="0.25">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3.2" x14ac:dyDescent="0.25">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3.2" x14ac:dyDescent="0.25">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3.2" x14ac:dyDescent="0.25">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3.2" x14ac:dyDescent="0.25">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3.2" x14ac:dyDescent="0.25">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3.2" x14ac:dyDescent="0.25">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3.2" x14ac:dyDescent="0.25">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3.2" x14ac:dyDescent="0.2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3.2" x14ac:dyDescent="0.25">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3.2" x14ac:dyDescent="0.25">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3.2" x14ac:dyDescent="0.25">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3.2" x14ac:dyDescent="0.25">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3.2" x14ac:dyDescent="0.25">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3.2" x14ac:dyDescent="0.25">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3.2" x14ac:dyDescent="0.25">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3.2" x14ac:dyDescent="0.25">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3.2" x14ac:dyDescent="0.25">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3.2" x14ac:dyDescent="0.2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3.2" x14ac:dyDescent="0.25">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3.2" x14ac:dyDescent="0.25">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3.2" x14ac:dyDescent="0.25">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3.2" x14ac:dyDescent="0.25">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3.2" x14ac:dyDescent="0.25">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3.2" x14ac:dyDescent="0.25">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3.2" x14ac:dyDescent="0.25">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3.2" x14ac:dyDescent="0.25">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3.2" x14ac:dyDescent="0.25">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3.2" x14ac:dyDescent="0.2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3.2" x14ac:dyDescent="0.25">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3.2" x14ac:dyDescent="0.25">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3.2" x14ac:dyDescent="0.25">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3.2" x14ac:dyDescent="0.25">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3.2" x14ac:dyDescent="0.25">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3.2" x14ac:dyDescent="0.25">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3.2" x14ac:dyDescent="0.25">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3.2" x14ac:dyDescent="0.25">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3.2" x14ac:dyDescent="0.25">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3.2" x14ac:dyDescent="0.2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3.2" x14ac:dyDescent="0.25">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3.2" x14ac:dyDescent="0.25">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3.2" x14ac:dyDescent="0.25">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3.2" x14ac:dyDescent="0.25">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3.2" x14ac:dyDescent="0.25">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3.2" x14ac:dyDescent="0.25">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3.2" x14ac:dyDescent="0.25">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3.2" x14ac:dyDescent="0.25">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3.2" x14ac:dyDescent="0.25">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3.2" x14ac:dyDescent="0.2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3.2" x14ac:dyDescent="0.25">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3.2" x14ac:dyDescent="0.25">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3.2" x14ac:dyDescent="0.25">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3.2" x14ac:dyDescent="0.25">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3.2" x14ac:dyDescent="0.25">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3.2" x14ac:dyDescent="0.25">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3.2" x14ac:dyDescent="0.25">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3.2" x14ac:dyDescent="0.25">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3.2" x14ac:dyDescent="0.25">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3.2" x14ac:dyDescent="0.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3.2" x14ac:dyDescent="0.25">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3.2" x14ac:dyDescent="0.25">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3.2" x14ac:dyDescent="0.25">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3.2" x14ac:dyDescent="0.25">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3.2" x14ac:dyDescent="0.25">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3.2" x14ac:dyDescent="0.25">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3.2" x14ac:dyDescent="0.25">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3.2" x14ac:dyDescent="0.25">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3.2" x14ac:dyDescent="0.25">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3.2" x14ac:dyDescent="0.2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3.2" x14ac:dyDescent="0.25">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3.2" x14ac:dyDescent="0.25">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3.2" x14ac:dyDescent="0.25">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3.2" x14ac:dyDescent="0.25">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3.2" x14ac:dyDescent="0.25">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3.2" x14ac:dyDescent="0.25">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3.2" x14ac:dyDescent="0.25">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3.2" x14ac:dyDescent="0.25">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3.2" x14ac:dyDescent="0.25">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3.2" x14ac:dyDescent="0.2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3.2" x14ac:dyDescent="0.25">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3.2" x14ac:dyDescent="0.25">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3.2" x14ac:dyDescent="0.25">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3.2" x14ac:dyDescent="0.25">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3.2" x14ac:dyDescent="0.25">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3.2" x14ac:dyDescent="0.25">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3.2" x14ac:dyDescent="0.25">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3.2" x14ac:dyDescent="0.25">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3.2" x14ac:dyDescent="0.25">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3.2" x14ac:dyDescent="0.2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3.2" x14ac:dyDescent="0.25">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3.2" x14ac:dyDescent="0.25">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3.2" x14ac:dyDescent="0.25">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3.2" x14ac:dyDescent="0.25">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3.2" x14ac:dyDescent="0.25">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3.2" x14ac:dyDescent="0.25">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3.2" x14ac:dyDescent="0.25">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3.2" x14ac:dyDescent="0.25">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3.2" x14ac:dyDescent="0.25">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3.2" x14ac:dyDescent="0.2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3.2" x14ac:dyDescent="0.25">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3.2" x14ac:dyDescent="0.25">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3.2" x14ac:dyDescent="0.25">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3.2" x14ac:dyDescent="0.25">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3.2" x14ac:dyDescent="0.25">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3.2" x14ac:dyDescent="0.25">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3.2" x14ac:dyDescent="0.25">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3.2" x14ac:dyDescent="0.25">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3.2" x14ac:dyDescent="0.25">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3.2" x14ac:dyDescent="0.2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3.2" x14ac:dyDescent="0.25">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3.2" x14ac:dyDescent="0.25">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3.2" x14ac:dyDescent="0.25">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3.2" x14ac:dyDescent="0.25">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3.2" x14ac:dyDescent="0.25">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3.2" x14ac:dyDescent="0.25">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3.2" x14ac:dyDescent="0.25">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3.2" x14ac:dyDescent="0.25">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3.2" x14ac:dyDescent="0.25">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3.2" x14ac:dyDescent="0.2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3.2" x14ac:dyDescent="0.25">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3.2" x14ac:dyDescent="0.25">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3.2" x14ac:dyDescent="0.25">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3.2" x14ac:dyDescent="0.25">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3.2" x14ac:dyDescent="0.25">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3.2" x14ac:dyDescent="0.25">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3.2" x14ac:dyDescent="0.25">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3.2" x14ac:dyDescent="0.25">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3.2" x14ac:dyDescent="0.25">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3.2" x14ac:dyDescent="0.2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3.2" x14ac:dyDescent="0.25">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3.2" x14ac:dyDescent="0.25">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3.2" x14ac:dyDescent="0.25">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3.2" x14ac:dyDescent="0.25">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3.2" x14ac:dyDescent="0.25">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3.2" x14ac:dyDescent="0.25">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3.2" x14ac:dyDescent="0.25">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3.2" x14ac:dyDescent="0.25">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3.2" x14ac:dyDescent="0.25">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3.2" x14ac:dyDescent="0.2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3.2" x14ac:dyDescent="0.25">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3.2" x14ac:dyDescent="0.25">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3.2" x14ac:dyDescent="0.25">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3.2" x14ac:dyDescent="0.25">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3.2" x14ac:dyDescent="0.25">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3.2" x14ac:dyDescent="0.25">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3.2" x14ac:dyDescent="0.25">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3.2" x14ac:dyDescent="0.25">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3.2" x14ac:dyDescent="0.25">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3.2" x14ac:dyDescent="0.2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3.2" x14ac:dyDescent="0.25">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3.2" x14ac:dyDescent="0.25">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3.2" x14ac:dyDescent="0.25">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3.2" x14ac:dyDescent="0.25">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3.2" x14ac:dyDescent="0.25">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3.2" x14ac:dyDescent="0.25">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3.2" x14ac:dyDescent="0.25">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3.2" x14ac:dyDescent="0.25">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3.2" x14ac:dyDescent="0.25">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3.2" x14ac:dyDescent="0.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3.2" x14ac:dyDescent="0.25">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3.2" x14ac:dyDescent="0.25">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3.2" x14ac:dyDescent="0.25">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3.2" x14ac:dyDescent="0.25">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3.2" x14ac:dyDescent="0.25">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3.2" x14ac:dyDescent="0.25">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3.2" x14ac:dyDescent="0.25">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3.2" x14ac:dyDescent="0.25">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3.2" x14ac:dyDescent="0.25">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3.2" x14ac:dyDescent="0.2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3.2" x14ac:dyDescent="0.25">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3.2" x14ac:dyDescent="0.25">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3.2" x14ac:dyDescent="0.25">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3.2" x14ac:dyDescent="0.25">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3.2" x14ac:dyDescent="0.25">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3.2" x14ac:dyDescent="0.25">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3.2" x14ac:dyDescent="0.25">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3.2" x14ac:dyDescent="0.25">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3.2" x14ac:dyDescent="0.25">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3.2" x14ac:dyDescent="0.2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3.2" x14ac:dyDescent="0.25">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3.2" x14ac:dyDescent="0.25">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3.2" x14ac:dyDescent="0.25">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3.2" x14ac:dyDescent="0.25">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3.2" x14ac:dyDescent="0.25">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3.2" x14ac:dyDescent="0.25">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3.2" x14ac:dyDescent="0.25">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3.2" x14ac:dyDescent="0.25">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3.2" x14ac:dyDescent="0.25">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3.2" x14ac:dyDescent="0.2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3.2" x14ac:dyDescent="0.25">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3.2" x14ac:dyDescent="0.25">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3.2" x14ac:dyDescent="0.25">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3.2" x14ac:dyDescent="0.25">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3.2" x14ac:dyDescent="0.25">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3.2" x14ac:dyDescent="0.25">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3.2" x14ac:dyDescent="0.25">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3.2" x14ac:dyDescent="0.25">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3.2" x14ac:dyDescent="0.25">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3.2" x14ac:dyDescent="0.2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3.2" x14ac:dyDescent="0.25">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3.2" x14ac:dyDescent="0.25">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3.2" x14ac:dyDescent="0.25">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3.2" x14ac:dyDescent="0.25">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3.2" x14ac:dyDescent="0.25">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3.2" x14ac:dyDescent="0.25">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3.2" x14ac:dyDescent="0.25">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3.2" x14ac:dyDescent="0.25">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3.2" x14ac:dyDescent="0.25">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3.2" x14ac:dyDescent="0.2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3.2" x14ac:dyDescent="0.25">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3.2" x14ac:dyDescent="0.25">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3.2" x14ac:dyDescent="0.25">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3.2" x14ac:dyDescent="0.25">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3.2" x14ac:dyDescent="0.25">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3.2" x14ac:dyDescent="0.25">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3.2" x14ac:dyDescent="0.25">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3.2" x14ac:dyDescent="0.25">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3.2" x14ac:dyDescent="0.25">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3.2" x14ac:dyDescent="0.2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3.2" x14ac:dyDescent="0.25">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3.2" x14ac:dyDescent="0.25">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3.2" x14ac:dyDescent="0.25">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3.2" x14ac:dyDescent="0.25">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3.2" x14ac:dyDescent="0.25">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3.2" x14ac:dyDescent="0.25">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3.2" x14ac:dyDescent="0.25">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3.2" x14ac:dyDescent="0.25">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3.2" x14ac:dyDescent="0.25">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3.2" x14ac:dyDescent="0.2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3.2" x14ac:dyDescent="0.25">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3.2" x14ac:dyDescent="0.25">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3.2" x14ac:dyDescent="0.25">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3.2" x14ac:dyDescent="0.25">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3.2" x14ac:dyDescent="0.25">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3.2" x14ac:dyDescent="0.25">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3.2" x14ac:dyDescent="0.25">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3.2" x14ac:dyDescent="0.25">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3.2" x14ac:dyDescent="0.25">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3.2" x14ac:dyDescent="0.2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3.2" x14ac:dyDescent="0.25">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3.2" x14ac:dyDescent="0.25">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3.2" x14ac:dyDescent="0.25">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3.2" x14ac:dyDescent="0.25">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3.2" x14ac:dyDescent="0.25">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3.2" x14ac:dyDescent="0.25">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3.2" x14ac:dyDescent="0.25">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3.2" x14ac:dyDescent="0.25">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3.2" x14ac:dyDescent="0.25">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3.2" x14ac:dyDescent="0.2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3.2" x14ac:dyDescent="0.25">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3.2" x14ac:dyDescent="0.25">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3.2" x14ac:dyDescent="0.25">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3.2" x14ac:dyDescent="0.25">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3.2" x14ac:dyDescent="0.25">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3.2" x14ac:dyDescent="0.25">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3.2" x14ac:dyDescent="0.25">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3.2" x14ac:dyDescent="0.25">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3.2" x14ac:dyDescent="0.25">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3.2" x14ac:dyDescent="0.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3.2" x14ac:dyDescent="0.25">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3.2" x14ac:dyDescent="0.25">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3.2" x14ac:dyDescent="0.25">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3.2" x14ac:dyDescent="0.25">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3.2" x14ac:dyDescent="0.25">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3.2" x14ac:dyDescent="0.25">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3.2" x14ac:dyDescent="0.25">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3.2" x14ac:dyDescent="0.25">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3.2" x14ac:dyDescent="0.25">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3.2" x14ac:dyDescent="0.2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3.2" x14ac:dyDescent="0.25">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3.2" x14ac:dyDescent="0.25">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3.2" x14ac:dyDescent="0.25">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3.2" x14ac:dyDescent="0.25">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3.2" x14ac:dyDescent="0.25">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3.2" x14ac:dyDescent="0.25">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3.2" x14ac:dyDescent="0.25">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3.2" x14ac:dyDescent="0.25">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3.2" x14ac:dyDescent="0.25">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3.2" x14ac:dyDescent="0.2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3.2" x14ac:dyDescent="0.25">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3.2" x14ac:dyDescent="0.25">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3.2" x14ac:dyDescent="0.25">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3.2" x14ac:dyDescent="0.25">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3.2" x14ac:dyDescent="0.25">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3.2" x14ac:dyDescent="0.25">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3.2" x14ac:dyDescent="0.25">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3.2" x14ac:dyDescent="0.25">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3.2" x14ac:dyDescent="0.25">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3.2" x14ac:dyDescent="0.2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3.2" x14ac:dyDescent="0.25">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3.2" x14ac:dyDescent="0.25">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3.2" x14ac:dyDescent="0.25">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3.2" x14ac:dyDescent="0.25">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3.2" x14ac:dyDescent="0.25">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3.2" x14ac:dyDescent="0.25">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3.2" x14ac:dyDescent="0.25">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3.2" x14ac:dyDescent="0.25">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3.2" x14ac:dyDescent="0.25">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3.2" x14ac:dyDescent="0.2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3.2" x14ac:dyDescent="0.25">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3.2" x14ac:dyDescent="0.25">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3.2" x14ac:dyDescent="0.25">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3.2" x14ac:dyDescent="0.25">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3.2" x14ac:dyDescent="0.25">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3.2" x14ac:dyDescent="0.25">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3.2" x14ac:dyDescent="0.25">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3.2" x14ac:dyDescent="0.25">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3.2" x14ac:dyDescent="0.25">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3.2" x14ac:dyDescent="0.2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3.2" x14ac:dyDescent="0.25">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3.2" x14ac:dyDescent="0.25">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3.2" x14ac:dyDescent="0.25">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3.2" x14ac:dyDescent="0.25">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3.2" x14ac:dyDescent="0.25">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3.2" x14ac:dyDescent="0.25">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3.2" x14ac:dyDescent="0.25">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3.2" x14ac:dyDescent="0.25">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3.2" x14ac:dyDescent="0.25">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3.2" x14ac:dyDescent="0.2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3.2" x14ac:dyDescent="0.25">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3.2" x14ac:dyDescent="0.25">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3.2" x14ac:dyDescent="0.25">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3.2" x14ac:dyDescent="0.25">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3.2" x14ac:dyDescent="0.25">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3.2" x14ac:dyDescent="0.25">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3.2" x14ac:dyDescent="0.25">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3.2" x14ac:dyDescent="0.25">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3.2" x14ac:dyDescent="0.25">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3.2" x14ac:dyDescent="0.2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3.2" x14ac:dyDescent="0.25">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3.2" x14ac:dyDescent="0.25">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3.2" x14ac:dyDescent="0.25">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3.2" x14ac:dyDescent="0.25">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3.2" x14ac:dyDescent="0.25">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3.2" x14ac:dyDescent="0.25">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3.2" x14ac:dyDescent="0.25">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3.2" x14ac:dyDescent="0.25">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3.2" x14ac:dyDescent="0.25">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3.2" x14ac:dyDescent="0.2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3.2" x14ac:dyDescent="0.25">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3.2" x14ac:dyDescent="0.25">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3.2" x14ac:dyDescent="0.25">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3.2" x14ac:dyDescent="0.25">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3.2" x14ac:dyDescent="0.25">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3.2" x14ac:dyDescent="0.25">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3.2" x14ac:dyDescent="0.25">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3.2" x14ac:dyDescent="0.25">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3.2" x14ac:dyDescent="0.25">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3.2" x14ac:dyDescent="0.2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3.2" x14ac:dyDescent="0.25">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3.2" x14ac:dyDescent="0.25">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3.2" x14ac:dyDescent="0.25">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3.2" x14ac:dyDescent="0.25">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3.2" x14ac:dyDescent="0.25">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3.2" x14ac:dyDescent="0.25">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3.2" x14ac:dyDescent="0.25">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3.2" x14ac:dyDescent="0.25">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3.2" x14ac:dyDescent="0.25">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3.2" x14ac:dyDescent="0.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3.2" x14ac:dyDescent="0.25">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3.2" x14ac:dyDescent="0.25">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3.2" x14ac:dyDescent="0.25">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3.2" x14ac:dyDescent="0.25">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3.2" x14ac:dyDescent="0.25">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3.2" x14ac:dyDescent="0.25">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3.2" x14ac:dyDescent="0.25">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3.2" x14ac:dyDescent="0.25">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3.2" x14ac:dyDescent="0.25">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3.2" x14ac:dyDescent="0.2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3.2" x14ac:dyDescent="0.25">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3.2" x14ac:dyDescent="0.25">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3.2" x14ac:dyDescent="0.25">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3.2" x14ac:dyDescent="0.25">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3.2" x14ac:dyDescent="0.25">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3.2" x14ac:dyDescent="0.25">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3.2" x14ac:dyDescent="0.25">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3.2" x14ac:dyDescent="0.25">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3.2" x14ac:dyDescent="0.25">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3.2" x14ac:dyDescent="0.2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3.2" x14ac:dyDescent="0.25">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3.2" x14ac:dyDescent="0.25">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3.2" x14ac:dyDescent="0.25">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3.2" x14ac:dyDescent="0.25">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3.2" x14ac:dyDescent="0.25">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3.2" x14ac:dyDescent="0.25">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3.2" x14ac:dyDescent="0.25">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3.2" x14ac:dyDescent="0.25">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3.2" x14ac:dyDescent="0.25">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3.2" x14ac:dyDescent="0.2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3.2" x14ac:dyDescent="0.25">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3.2" x14ac:dyDescent="0.25">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3.2" x14ac:dyDescent="0.25">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3.2" x14ac:dyDescent="0.25">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3.2" x14ac:dyDescent="0.25">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3.2" x14ac:dyDescent="0.25">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3.2" x14ac:dyDescent="0.25">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3.2" x14ac:dyDescent="0.25">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3.2" x14ac:dyDescent="0.25">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3.2" x14ac:dyDescent="0.2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3.2" x14ac:dyDescent="0.25">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3.2" x14ac:dyDescent="0.25">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3.2" x14ac:dyDescent="0.25">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3.2" x14ac:dyDescent="0.25">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3.2" x14ac:dyDescent="0.25">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3.2" x14ac:dyDescent="0.25">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3.2" x14ac:dyDescent="0.25">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3.2" x14ac:dyDescent="0.25">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3.2" x14ac:dyDescent="0.25">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3.2" x14ac:dyDescent="0.2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3.2" x14ac:dyDescent="0.25">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3.2" x14ac:dyDescent="0.25">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3.2" x14ac:dyDescent="0.25">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3.2" x14ac:dyDescent="0.25">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3.2" x14ac:dyDescent="0.25">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3.2" x14ac:dyDescent="0.25">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3.2" x14ac:dyDescent="0.25">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3.2" x14ac:dyDescent="0.25">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3.2" x14ac:dyDescent="0.25">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3.2" x14ac:dyDescent="0.2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3.2" x14ac:dyDescent="0.25">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3.2" x14ac:dyDescent="0.25">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3.2" x14ac:dyDescent="0.25">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3.2" x14ac:dyDescent="0.25">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3.2" x14ac:dyDescent="0.25">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3.2" x14ac:dyDescent="0.25">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3.2" x14ac:dyDescent="0.25">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3.2" x14ac:dyDescent="0.25">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3.2" x14ac:dyDescent="0.25">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3.2" x14ac:dyDescent="0.2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3.2" x14ac:dyDescent="0.25">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3.2" x14ac:dyDescent="0.25">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3.2" x14ac:dyDescent="0.25">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3.2" x14ac:dyDescent="0.25">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3.2" x14ac:dyDescent="0.25">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3.2" x14ac:dyDescent="0.25">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3.2" x14ac:dyDescent="0.25">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3.2" x14ac:dyDescent="0.25">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3.2" x14ac:dyDescent="0.25">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3.2" x14ac:dyDescent="0.2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3.2" x14ac:dyDescent="0.25">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3.2" x14ac:dyDescent="0.25">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3.2" x14ac:dyDescent="0.25">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3.2" x14ac:dyDescent="0.25">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3.2" x14ac:dyDescent="0.25">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3.2" x14ac:dyDescent="0.25">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3.2" x14ac:dyDescent="0.25">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3.2" x14ac:dyDescent="0.25">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3.2" x14ac:dyDescent="0.25">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3.2" x14ac:dyDescent="0.2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3.2" x14ac:dyDescent="0.25">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3.2" x14ac:dyDescent="0.25">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3.2" x14ac:dyDescent="0.25">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3.2" x14ac:dyDescent="0.25">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3.2" x14ac:dyDescent="0.25">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3.2" x14ac:dyDescent="0.25">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3.2" x14ac:dyDescent="0.25">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3.2" x14ac:dyDescent="0.25">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3.2" x14ac:dyDescent="0.25">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3.2" x14ac:dyDescent="0.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3.2" x14ac:dyDescent="0.25">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3.2" x14ac:dyDescent="0.25">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3.2" x14ac:dyDescent="0.25">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3.2" x14ac:dyDescent="0.25">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3.2" x14ac:dyDescent="0.25">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3.2" x14ac:dyDescent="0.25">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3.2" x14ac:dyDescent="0.25">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3.2" x14ac:dyDescent="0.25">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3.2" x14ac:dyDescent="0.25">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3.2" x14ac:dyDescent="0.2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3.2" x14ac:dyDescent="0.25">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3.2" x14ac:dyDescent="0.25">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3.2" x14ac:dyDescent="0.25">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3.2" x14ac:dyDescent="0.25">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3.2" x14ac:dyDescent="0.25">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3.2" x14ac:dyDescent="0.25">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3.2" x14ac:dyDescent="0.25">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3.2" x14ac:dyDescent="0.25">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3.2" x14ac:dyDescent="0.25">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3.2" x14ac:dyDescent="0.2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3.2" x14ac:dyDescent="0.25">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3.2" x14ac:dyDescent="0.25">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3.2" x14ac:dyDescent="0.25">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3.2" x14ac:dyDescent="0.25">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3.2" x14ac:dyDescent="0.25">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3.2" x14ac:dyDescent="0.25">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3.2" x14ac:dyDescent="0.25">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3.2" x14ac:dyDescent="0.25">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3.2" x14ac:dyDescent="0.25">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3.2" x14ac:dyDescent="0.2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3.2" x14ac:dyDescent="0.25">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3.2" x14ac:dyDescent="0.25">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3.2" x14ac:dyDescent="0.25">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3.2" x14ac:dyDescent="0.25">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3.2" x14ac:dyDescent="0.25">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3.2" x14ac:dyDescent="0.25">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3.2" x14ac:dyDescent="0.25">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3.2" x14ac:dyDescent="0.25">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3.2" x14ac:dyDescent="0.25">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3.2" x14ac:dyDescent="0.2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3.2" x14ac:dyDescent="0.25">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3.2" x14ac:dyDescent="0.25">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3.2" x14ac:dyDescent="0.25">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3.2" x14ac:dyDescent="0.25">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3.2" x14ac:dyDescent="0.25">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3.2" x14ac:dyDescent="0.25">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3.2" x14ac:dyDescent="0.25">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3.2" x14ac:dyDescent="0.25">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3.2" x14ac:dyDescent="0.25">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3.2" x14ac:dyDescent="0.2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3.2" x14ac:dyDescent="0.25">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3.2" x14ac:dyDescent="0.25">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3.2" x14ac:dyDescent="0.25">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3.2" x14ac:dyDescent="0.25">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3.2" x14ac:dyDescent="0.25">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3.2" x14ac:dyDescent="0.25">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3.2" x14ac:dyDescent="0.25">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3.2" x14ac:dyDescent="0.25">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3.2" x14ac:dyDescent="0.25">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3.2" x14ac:dyDescent="0.2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3.2" x14ac:dyDescent="0.25">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3.2" x14ac:dyDescent="0.25">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3.2" x14ac:dyDescent="0.25">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3.2" x14ac:dyDescent="0.25">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3.2" x14ac:dyDescent="0.25">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3.2" x14ac:dyDescent="0.25">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3.2" x14ac:dyDescent="0.25">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3.2" x14ac:dyDescent="0.25">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3.2" x14ac:dyDescent="0.25">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ht="13.2" x14ac:dyDescent="0.25">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ht="13.2" x14ac:dyDescent="0.25">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ht="13.2" x14ac:dyDescent="0.25">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ht="13.2" x14ac:dyDescent="0.25">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ht="13.2" x14ac:dyDescent="0.25">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ht="13.2" x14ac:dyDescent="0.25">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3">
    <mergeCell ref="A1:D1"/>
    <mergeCell ref="A2:D2"/>
    <mergeCell ref="A4:D4"/>
  </mergeCells>
  <pageMargins left="0.75" right="0.75" top="1" bottom="1"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PER FITUR</vt:lpstr>
      <vt:lpstr>Pertanyaan</vt:lpstr>
      <vt:lpstr>RAB - Biaya Produksi</vt:lpstr>
      <vt:lpstr>Sumber Dana</vt:lpstr>
      <vt:lpstr>Skema Harga ke Klien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ANDROID</cp:lastModifiedBy>
  <dcterms:modified xsi:type="dcterms:W3CDTF">2026-10-05T08:06:05Z</dcterms:modified>
</cp:coreProperties>
</file>