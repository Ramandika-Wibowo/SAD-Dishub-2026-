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UINSA\SAD\Aplikasi\"/>
    </mc:Choice>
  </mc:AlternateContent>
  <xr:revisionPtr revIDLastSave="0" documentId="13_ncr:1_{D0C969E2-54D6-4453-AD4F-9FEB4943E633}" xr6:coauthVersionLast="47" xr6:coauthVersionMax="47" xr10:uidLastSave="{00000000-0000-0000-0000-000000000000}"/>
  <bookViews>
    <workbookView xWindow="-108" yWindow="-108" windowWidth="23256" windowHeight="13176" firstSheet="1" activeTab="5" xr2:uid="{00000000-000D-0000-FFFF-FFFF00000000}"/>
  </bookViews>
  <sheets>
    <sheet name="Ringkasan &amp; Profil Media" sheetId="1" r:id="rId1"/>
    <sheet name="Pertanyaan Wawancara" sheetId="2" r:id="rId2"/>
    <sheet name="RAB - Biaya Produksi" sheetId="3" r:id="rId3"/>
    <sheet name="PER FITUR" sheetId="4" r:id="rId4"/>
    <sheet name="Sumber Dana" sheetId="5" r:id="rId5"/>
    <sheet name="Skema Harga ke Klie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5" l="1"/>
  <c r="F7" i="5" s="1"/>
  <c r="F24" i="4"/>
  <c r="H24" i="4" s="1"/>
  <c r="H23" i="4"/>
  <c r="F23" i="4"/>
  <c r="F22" i="4"/>
  <c r="F25" i="4" s="1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19" i="4" s="1"/>
  <c r="I48" i="3"/>
  <c r="G48" i="3"/>
  <c r="G47" i="3"/>
  <c r="I47" i="3" s="1"/>
  <c r="I49" i="3" s="1"/>
  <c r="G42" i="3"/>
  <c r="J42" i="3" s="1"/>
  <c r="J41" i="3"/>
  <c r="G41" i="3"/>
  <c r="G40" i="3"/>
  <c r="J40" i="3" s="1"/>
  <c r="J39" i="3"/>
  <c r="G39" i="3"/>
  <c r="G38" i="3"/>
  <c r="J38" i="3" s="1"/>
  <c r="J37" i="3"/>
  <c r="G37" i="3"/>
  <c r="G43" i="3" s="1"/>
  <c r="J33" i="3"/>
  <c r="H18" i="4" s="1"/>
  <c r="G33" i="3"/>
  <c r="G32" i="3"/>
  <c r="J32" i="3" s="1"/>
  <c r="H17" i="4" s="1"/>
  <c r="J31" i="3"/>
  <c r="H16" i="4" s="1"/>
  <c r="G31" i="3"/>
  <c r="G30" i="3"/>
  <c r="J30" i="3" s="1"/>
  <c r="J29" i="3"/>
  <c r="G29" i="3"/>
  <c r="G28" i="3"/>
  <c r="J28" i="3" s="1"/>
  <c r="J27" i="3"/>
  <c r="H14" i="4" s="1"/>
  <c r="G27" i="3"/>
  <c r="G26" i="3"/>
  <c r="J26" i="3" s="1"/>
  <c r="J25" i="3"/>
  <c r="H13" i="4" s="1"/>
  <c r="G25" i="3"/>
  <c r="G24" i="3"/>
  <c r="J24" i="3" s="1"/>
  <c r="H12" i="4" s="1"/>
  <c r="J23" i="3"/>
  <c r="G23" i="3"/>
  <c r="G22" i="3"/>
  <c r="J22" i="3" s="1"/>
  <c r="H11" i="4" s="1"/>
  <c r="J21" i="3"/>
  <c r="G21" i="3"/>
  <c r="G20" i="3"/>
  <c r="J20" i="3" s="1"/>
  <c r="H10" i="4" s="1"/>
  <c r="J19" i="3"/>
  <c r="G19" i="3"/>
  <c r="G18" i="3"/>
  <c r="J18" i="3" s="1"/>
  <c r="H9" i="4" s="1"/>
  <c r="J17" i="3"/>
  <c r="H8" i="4" s="1"/>
  <c r="G17" i="3"/>
  <c r="G16" i="3"/>
  <c r="J16" i="3" s="1"/>
  <c r="J15" i="3"/>
  <c r="G15" i="3"/>
  <c r="G14" i="3"/>
  <c r="G34" i="3" s="1"/>
  <c r="J13" i="3"/>
  <c r="G13" i="3"/>
  <c r="G8" i="3"/>
  <c r="I8" i="3" s="1"/>
  <c r="G7" i="3"/>
  <c r="I7" i="3" s="1"/>
  <c r="G6" i="3"/>
  <c r="I6" i="3" s="1"/>
  <c r="G27" i="1"/>
  <c r="F27" i="1"/>
  <c r="H7" i="4" l="1"/>
  <c r="I9" i="3"/>
  <c r="H15" i="4"/>
  <c r="J43" i="3"/>
  <c r="F5" i="5"/>
  <c r="J14" i="3"/>
  <c r="H6" i="4" s="1"/>
  <c r="H19" i="4" s="1"/>
  <c r="J34" i="3"/>
  <c r="D6" i="6" s="1"/>
  <c r="H22" i="4"/>
  <c r="H25" i="4" s="1"/>
  <c r="F6" i="5"/>
  <c r="F8" i="5" l="1"/>
  <c r="D7" i="6"/>
  <c r="I51" i="3"/>
  <c r="I52" i="3" l="1"/>
  <c r="I53" i="3"/>
  <c r="D5" i="6" s="1"/>
</calcChain>
</file>

<file path=xl/sharedStrings.xml><?xml version="1.0" encoding="utf-8"?>
<sst xmlns="http://schemas.openxmlformats.org/spreadsheetml/2006/main" count="369" uniqueCount="315">
  <si>
    <t>PROFIL TARGET PERUSAHAAN &amp; BENCHMARK PENGEMBANGAN SOFTWARE</t>
  </si>
  <si>
    <t>Tugas Capstone SAD 2026: Sistem E-Internship Suara Surabaya Media</t>
  </si>
  <si>
    <t>A. IDENTITAS &amp; PROFIL TARGET PERUSAHAAN</t>
  </si>
  <si>
    <t>Nama Perusahaan</t>
  </si>
  <si>
    <t>PT Radio Suara Surabaya (Suara Surabaya Media)</t>
  </si>
  <si>
    <t>Bidang Usaha</t>
  </si>
  <si>
    <t>Media Massa Penyiaran Radio Terestrial (FM 100), Portal Berita Digital (suarasurabaya.net), Multimedia &amp; Live Event</t>
  </si>
  <si>
    <t>Alamat Kantor</t>
  </si>
  <si>
    <t>Jl. Raya Wonokitri No. 40, Sawahan, Surabaya, Jawa Timur 60256</t>
  </si>
  <si>
    <t>Karakteristik Operasional</t>
  </si>
  <si>
    <t>Pusat informasi publik lalu lintas &amp; berita Jawa Timur dengan volume pelamar magang/PKL mencapai ratusan mahasiswa per semester</t>
  </si>
  <si>
    <t>Divisi Penerima Magang</t>
  </si>
  <si>
    <t>1. Radio On-Air / Gatekeeper, 2. Redaksi Berita Online, 3. Social Media &amp; Multimedia, 4. IT &amp; Web Dev, 5. Traffic &amp; Promosi</t>
  </si>
  <si>
    <t>Masalah Operasional Utama</t>
  </si>
  <si>
    <t>Pendaftaran magang masih manual via email/WhatsApp pribadi, berkas tercecer, kuota divisi tidak transparan, dan verifikasi memakan waktu lama</t>
  </si>
  <si>
    <t>Solusi yang Dibangun</t>
  </si>
  <si>
    <t>Website E-Internship &amp; Talent Management System terintegrasi (Next.js 14 + Laravel 11 API + PostgreSQL 18)</t>
  </si>
  <si>
    <t>B. BENCHMARK GAJI DEVELOPER &amp; PENETAPAN TARIF PER ORANG-HARI (OH)</t>
  </si>
  <si>
    <t>Referensi Standar Gaji Industri TI Surabaya (UMK Surabaya 2026: ~Rp 5.200.000) &amp; Penyesuaian Tarif Proyek Akademik Capstone:</t>
  </si>
  <si>
    <t>No.</t>
  </si>
  <si>
    <t>Peran Tim Pengembang</t>
  </si>
  <si>
    <t>Tanggung Jawab Teknis</t>
  </si>
  <si>
    <t>Standar Gaji Industri / Bulan</t>
  </si>
  <si>
    <t>Basis Harian Industri</t>
  </si>
  <si>
    <t>Tarif Dasar Capstone (OH)</t>
  </si>
  <si>
    <t>Dasar Acuan &amp; Referensi</t>
  </si>
  <si>
    <t>UI/UX Designer</t>
  </si>
  <si>
    <t>Riset user journey, wireframe, mockup Figma, styling tema Suara Surabaya Blue</t>
  </si>
  <si>
    <t>Survei Gaji Desainer Junior Jatim / Glints &amp; Jobstreet 2026</t>
  </si>
  <si>
    <t>Full-Stack Web Developer</t>
  </si>
  <si>
    <t>Pembangunan frontend Next.js 14, backend Laravel 11 REST API, integrasi PostgreSQL</t>
  </si>
  <si>
    <t>Standar UMK Surabaya + Skala Upah Programmer Asosiasi Software</t>
  </si>
  <si>
    <t>QA &amp; Testing Specialist</t>
  </si>
  <si>
    <t>Black-box testing, validasi form pendaftaran, pengujian alur verifikasi &amp; bug report</t>
  </si>
  <si>
    <t>Standar Pengujian Perangkat Lunak Software Testing Institute</t>
  </si>
  <si>
    <t>C. REFERENSI RESMI BIAYA INFRASTRUKTUR CLOUD &amp; DOMAIN</t>
  </si>
  <si>
    <t>Komponen Infrastruktur</t>
  </si>
  <si>
    <t>Spesifikasi Layanan</t>
  </si>
  <si>
    <t>Penyedia / Vendor Resmi</t>
  </si>
  <si>
    <t>Biaya / Bulan</t>
  </si>
  <si>
    <t>Biaya / Tahun (Rp)</t>
  </si>
  <si>
    <t>Tautan / Referensi Resmi</t>
  </si>
  <si>
    <t>Cloud Server VPS (Compute)</t>
  </si>
  <si>
    <t>2 vCPU, 4GB RAM, 60GB NVMe SSD, Bandwidth 3TB</t>
  </si>
  <si>
    <t>Alibaba Cloud ECS / DigitalOcean Droplet</t>
  </si>
  <si>
    <t>alibabacloud.com/product/ecs | digitalocean.com/pricing ($24/bln)</t>
  </si>
  <si>
    <t>Managed PostgreSQL Database</t>
  </si>
  <si>
    <t>Dedicated PostgreSQL Instance, Auto-Backup, High Availability</t>
  </si>
  <si>
    <t>Supabase Pro Plan / Alibaba ApsaraDB</t>
  </si>
  <si>
    <t>supabase.com/pricing ($25/bln) | alibabacloud.com/product/rds-postgresql</t>
  </si>
  <si>
    <t>Domain Korporat &amp; SSL Certificate</t>
  </si>
  <si>
    <t>Domain .net / .co.id resmi + Wildcard SSL Certificate 1 Tahun</t>
  </si>
  <si>
    <t>Niagahoster / IDwebhost</t>
  </si>
  <si>
    <t>niagahoster.co.id/domain-murah &amp; idwebhost.com/ssl-murah</t>
  </si>
  <si>
    <t>TOTAL BIAYA INFRASTRUKTUR CLOUD KOMERSIAL</t>
  </si>
  <si>
    <t>Estimasi kebutuhan jika sewa cloud publik (1 Tahun)</t>
  </si>
  <si>
    <t>Dihitung sebagai acuan CAPEX &amp; OPEX komparasi</t>
  </si>
  <si>
    <t>Catatan Strategis Realisasi Pengadaan Suara Surabaya Media:</t>
  </si>
  <si>
    <t>• Infrastruktur Server Eksisting: Suara Surabaya Media telah memiliki server fisik/VM on-premise sendiri di Datacenter Kampoeng Media SS (Wonokitri). Biaya pengadaan/sewa server = Rp 0,-.</t>
  </si>
  <si>
    <t>• Database Engine: Menggunakan PostgreSQL Local RDBMS (Open Source) yang di-install langsung di server lokal SS Media. Biaya lisensi = Rp 0,-.</t>
  </si>
  <si>
    <t>• Pengadaan Infrastruktur Riil: HANYA Domain Web Resmi (.id / .net) dan Sertifikat SSL seharga Rp 252.000,-/tahun (Registrar Niagahoster/PANDI).</t>
  </si>
  <si>
    <t>• Notifikasi: Sistem TIDAK menggunakan WhatsApp API pihak ketiga, seluruh notifikasi status berjalan langsung via In-App Notification (tabel database) di web portal pelamar.</t>
  </si>
  <si>
    <t>DAFTAR PERTANYAAN WAWANCARA &amp; TARGET EVALUASI APLIKASI</t>
  </si>
  <si>
    <t>Narasumber: HRD &amp; Tim Redaksi Suara Surabaya Media | Kerangka Standar: ISO/IEC 25010 Software Quality</t>
  </si>
  <si>
    <t>Kriteria / Aspek Evaluasi</t>
  </si>
  <si>
    <t>Modul / Fitur Sistem</t>
  </si>
  <si>
    <t>Tujuan Pitching Fitur</t>
  </si>
  <si>
    <t>Pertanyaan Wawancara (Kata Tanya di Awal, To The Point)</t>
  </si>
  <si>
    <t>Target Jawaban Narasumber</t>
  </si>
  <si>
    <t>Referensi Standar</t>
  </si>
  <si>
    <t>Kesesuaian Alur Bisnis</t>
  </si>
  <si>
    <t>Sistem E-Internship Terpadu</t>
  </si>
  <si>
    <t>Menggantikan pendaftaran manual via email/berkas fisik yang rawan tercecer dengan portal terpusat.</t>
  </si>
  <si>
    <t>Apakah Bapak/Ibu pernah menggunakan aplikasi sistem pendaftaran magang daring serupa sebelumnya di lingkungan Suara Surabaya Media?</t>
  </si>
  <si>
    <t>Belum pernah ada sistem khusus; selama ini pelamar mengirim berkas ke email redaksi atau datang langsung membawa surat fisik, lalu kami sortir manual di lemari arsip.</t>
  </si>
  <si>
    <t>ISO/IEC 25010 - Functional Completeness</t>
  </si>
  <si>
    <t>Portal Publik &amp; Beranda Informasi</t>
  </si>
  <si>
    <t>Memusatkan kanal informasi jadwal magang dan kuota divisi agar admin tidak dibebani pertanyaan berulang di medsos.</t>
  </si>
  <si>
    <t>Bagaimana selama ini calon peserta magang mendapatkan informasi pembukaan magang di Suara Surabaya, hingga akhirnya mengajukan berkas dan diproses tim HRD/Redaksi?</t>
  </si>
  <si>
    <t>Biasanya mahasiswa bertanya lewat DM Instagram atau siaran radio, lalu kami arahkan kirim proposal ke email kantor, namun sering terlewat karena tercampur email berita masuk.</t>
  </si>
  <si>
    <t>ISO/IEC 25010 - Appropriateness Recognizability</t>
  </si>
  <si>
    <t>Formulir Multi-Step Pendaftaran</t>
  </si>
  <si>
    <t>Menstandarkan data pelamar secara terstruktur (biodata, kampus, divisi) agar seragam dan langsung siap dinilai.</t>
  </si>
  <si>
    <t>Apakah alur pendaftaran mandiri (buat akun, isi data diri, pilih divisi, upload berkas) pada aplikasi ini sudah sesuai dengan tahapan seleksi yang Bapak/Ibu terapkan?</t>
  </si>
  <si>
    <t>Sudah sesuai. Tahapan pengisian dari data diri, asal kampus, divisi yang dituju, hingga unggah berkas sudah persis seperti tahapan formulir cetak kami.</t>
  </si>
  <si>
    <t>ISO/IEC 25010 - Functional Correctness</t>
  </si>
  <si>
    <t>Kelengkapan Dokumen</t>
  </si>
  <si>
    <t>Validasi &amp; Upload Berkas</t>
  </si>
  <si>
    <t>Memastikan berkas administratif lengkap sebelum diverifikasi, memfilter pelamar yang tidak memenuhi syarat formal.</t>
  </si>
  <si>
    <t>Apakah dokumen yang diminta dari calon pelamar (CV, Surat Kampus, KTP/KTM, dan Proposal) sudah lengkap memenuhi standar seleksi di Suara Surabaya?</t>
  </si>
  <si>
    <t>Sudah sangat lengkap. Keempat berkas itu adalah syarat mutlak administrasi magang di media kami.</t>
  </si>
  <si>
    <t>Deteksi Alumni (Re-Apply Logic)</t>
  </si>
  <si>
    <t>Mencegah duplikasi akun dan mengotomasi alur pendaftaran ulang bagi alumni yang ingin magang kembali di periode berbeda.</t>
  </si>
  <si>
    <t>Bagaimana cara sistem menangani pelamar alumni magang yang ingin mendaftar kembali pada periode berikutnya?</t>
  </si>
  <si>
    <t>Sistem otomatis mendeteksi riwayat magang yang sudah lewat dan membuka kembali formulir pengajuan baru tanpa harus membuat akun email baru.</t>
  </si>
  <si>
    <t>ISO/IEC 25010 - Functional Appropriateness</t>
  </si>
  <si>
    <t>Manajemen Kuota Divisi</t>
  </si>
  <si>
    <t>Master Kuota &amp; Kapasitas Divisi</t>
  </si>
  <si>
    <t>Mengontrol kapasitas fisik ruangan studio radio dan meja redaksi agar tidak melebihi kapasitas kerja kantor.</t>
  </si>
  <si>
    <t>Apakah batas kuota maksimal per divisi (On-Air Radio, Redaksi Online, Multimedia, IT) di aplikasi ini sudah membantu mengontrol kapasitas kantor?</t>
  </si>
  <si>
    <t>Sangat membantu. Divisi studio radio ruangannya terbatas untuk 4-5 orang, jadi batas kuota ini mencegah ruangan terlalu padat.</t>
  </si>
  <si>
    <t>ISO/IEC 25010 - Resource Utilization</t>
  </si>
  <si>
    <t>Otomasi Auto-Lock Kuota (Roadmap V2.0)</t>
  </si>
  <si>
    <t>Menghilangkan komplain pelamar dengan mengunci divisi secara real-time saat kapasitas kuota penerimaan terpenuhi.</t>
  </si>
  <si>
    <t>Apakah mekanisme penutupan otomatis (Auto-Lock) saat kuota suatu divisi terpenuhi sudah sesuai dengan kebijakan operasional redaksi?</t>
  </si>
  <si>
    <t>Sudah sangat sesuai. Jika kuota sudah habis, divisi tersebut langsung terkunci sehingga pelamar diarahkan memilih divisi lain yang masih tersedia.</t>
  </si>
  <si>
    <t>ISO/IEC 25010 - Fault Tolerance</t>
  </si>
  <si>
    <t>Penilaian Seleksi Cerdas</t>
  </si>
  <si>
    <t>Decision Support System (Roadmap V2.0)</t>
  </si>
  <si>
    <t>Memangkas waktu skrining berkas dari hitungan minggu menjadi detik berdasarkan aturan berkas, kuota, dan jurusan.</t>
  </si>
  <si>
    <t>Apakah rekomendasi otomatis seleksi berbasis aturan (Rule 1 Berkas, Rule 3 Kuota, Rule 4 Jurusan) mempermudah staf dalam menyaring ratusan berkas?</t>
  </si>
  <si>
    <t>Sangat mempermudah. Staf kami tidak perlu lagi mencocokkan jurusan pelamar satu per satu dengan divisi yang dilamar.</t>
  </si>
  <si>
    <t>ISO/IEC 25010 - Time Behaviour</t>
  </si>
  <si>
    <t>Pelaporan &amp; Laporan</t>
  </si>
  <si>
    <t>Dasbor Analitik Pimpinan (Roadmap V2.0)</t>
  </si>
  <si>
    <t>Menyajikan visualisasi tren pendaftar dan utilisasi divisi secara instan bagi pimpinan redaksi untuk evaluasi.</t>
  </si>
  <si>
    <t>Apakah informasi grafik pada Dasbor Pimpinan (tren bulanan dan komposisi asal kampus) sudah cukup untuk kebutuhan evaluasi pimpinan redaksi?</t>
  </si>
  <si>
    <t>Sudah cukup dan informatif. Pimpinan bisa langsung melihat kampus mana yang paling aktif mengirimkan mahasiswa ke Suara Surabaya.</t>
  </si>
  <si>
    <t>ISO/IEC 25010 - Information Quality</t>
  </si>
  <si>
    <t>Ekspor Laporan Excel (.xlsx) (Roadmap V2.0)</t>
  </si>
  <si>
    <t>Menyediakan rekapitulasi data pendaftar dan arsip kelolosan yang siap dicetak dan dilaporkan ke direksi.</t>
  </si>
  <si>
    <t>Apakah format ekspor rekapitulasi data pendaftar ke spreadsheet Excel (.xlsx) sudah sesuai untuk arsip administrasi kantor?</t>
  </si>
  <si>
    <t>Sudah sesuai dan rapi, kolom nama, kampus, divisi, tanggal diterima, dan status sudah lengkap sehingga tidak perlu rekap manual lagi.</t>
  </si>
  <si>
    <t>ISO/IEC 25010 - Interoperability</t>
  </si>
  <si>
    <t>Kemudahan Penggunaan</t>
  </si>
  <si>
    <t>UI/UX Impeccable (Dual Mode Light/Dark)</t>
  </si>
  <si>
    <t>Menghadirkan tampilan korporat media modern yang nyaman di mata di ruang studio gelap maupun ruang kantor terang.</t>
  </si>
  <si>
    <t>Apakah terdapat bagian dari antarmuka aplikasi yang membingungkan atau sulit dioperasikan oleh staf maupun pelamar?</t>
  </si>
  <si>
    <t>Tidak ada yang membingungkan. Menu navigasi jelas, tombol aksi terlihat tegas, dan perpindahan mode gelap-terang sangat nyaman di mata.</t>
  </si>
  <si>
    <t>ISO/IEC 25010 - Operability &amp; Error Protection</t>
  </si>
  <si>
    <t>Performa Sistem</t>
  </si>
  <si>
    <t>Optimasi Next.js 14 Pre-Compiled</t>
  </si>
  <si>
    <t>Menjamin akses cepat tanpa jeda (zero lag) dan hemat kuota internet pengguna.</t>
  </si>
  <si>
    <t>Bagaimana kecepatan respon dan akses halaman aplikasi saat digunakan melalui komputer kantor maupun smartphone?</t>
  </si>
  <si>
    <t>Sangat cepat dan responsif, tidak ada jeda yang mengganggu saat berpindah halaman formulir maupun membuka preview berkas.</t>
  </si>
  <si>
    <t>ISO/IEC 25010 - Performance Efficiency</t>
  </si>
  <si>
    <t>Keamanan Akses</t>
  </si>
  <si>
    <t>Otorisasi RBAC Sanctum Token</t>
  </si>
  <si>
    <t>Menjaga kerahasiaan data pribadi pelamar dan membatasi wewenang eksekusi terima/tolak hanya untuk admin berwenang.</t>
  </si>
  <si>
    <t>Apakah pemisahan hak akses antara Pelamar, Admin Redaksi/HRD, dan Pimpinan Redaksi sudah tepat melindungi kerahasiaan data?</t>
  </si>
  <si>
    <t>Sudah tepat. Pelamar hanya bisa melihat status dirinya sendiri, sedangkan Admin yang berhak memverifikasi berkas, dan Pimpinan hanya melihat analitik.</t>
  </si>
  <si>
    <t>ISO/IEC 25010 - Confidentiality &amp; Authenticity</t>
  </si>
  <si>
    <t>Manfaat Operasional</t>
  </si>
  <si>
    <t>Digitalisasi Alur Kerja Magang</t>
  </si>
  <si>
    <t>Membuktikan ROI operasional nyata berupa penghematan waktu staf dan peningkatan citra instansi media.</t>
  </si>
  <si>
    <t>Apa manfaat terbesar yang dirasakan Suara Surabaya Media dari keberadaan sistem E-Internship ini dibanding cara lama?</t>
  </si>
  <si>
    <t>Manfaat terbesar adalah penghematan waktu staf hingga 70%, arsip data pelamar tersimpan rapi, dan reputasi Suara Surabaya terlihat jauh lebih profesional di mata kampus.</t>
  </si>
  <si>
    <t>ISO/IEC 25010 - Satisfaction (Usefulness)</t>
  </si>
  <si>
    <t>Kesiapan Implementasi</t>
  </si>
  <si>
    <t>Sistem Siap Deploy On-Premise</t>
  </si>
  <si>
    <t>Memastikan kesiapan serah terima sistem dan komitmen implementasi resmi di lingkungan Suara Surabaya Media.</t>
  </si>
  <si>
    <t>Apakah Suara Surabaya Media bersedia menerapkan sistem ini secara resmi untuk periode penerimaan magang selanjutnya?</t>
  </si>
  <si>
    <t>Kami bersedia menggunakannya secara resmi, diawali dengan pelatihan singkat bagi admin redaksi dan uji coba pada satu gelombang pendaftaran magang.</t>
  </si>
  <si>
    <t>ISO/IEC 25010 - Compliance &amp; Acceptance</t>
  </si>
  <si>
    <t>RENCANA ANGGARAN BIAYA (RAB) — BIAYA PRODUKSI SOFTWARE</t>
  </si>
  <si>
    <t>Sistem Informasi E-Internship &amp; Talent Management Suara Surabaya Media</t>
  </si>
  <si>
    <t>A. INFRASTRUKTUR APLIKASI (PENGADAAN SERVER &amp; DOMAIN SUARA SURABAYA)</t>
  </si>
  <si>
    <t>Uraian Infrastruktur &amp; Layanan Server</t>
  </si>
  <si>
    <t>Referensi Vendor / Spesifikasi Teknis</t>
  </si>
  <si>
    <t>Volume (Jumlah)</t>
  </si>
  <si>
    <t>Durasi (Tahun)</t>
  </si>
  <si>
    <t>Total Paket</t>
  </si>
  <si>
    <t>Harga Satuan / Th (Rp)</t>
  </si>
  <si>
    <t>Total Biaya (Rp)</t>
  </si>
  <si>
    <t>Server On-Premise Suara Surabaya (Compute &amp; Host)</t>
  </si>
  <si>
    <t>Server Fisik / VM Internal Eksisting di Datacenter SS Media</t>
  </si>
  <si>
    <t>Database Server PostgreSQL (Local On-Premise)</t>
  </si>
  <si>
    <t>Open-Source RDBMS Terinstal di Server Internal SS Media</t>
  </si>
  <si>
    <t>Domain Web Resmi (.id / .net) &amp; Sertifikat SSL</t>
  </si>
  <si>
    <t>Registrar Niagahoster / PANDI (Domain Publik Portal Magang)</t>
  </si>
  <si>
    <t>Subtotal A. Infrastruktur Aplikasi</t>
  </si>
  <si>
    <t>B. BIAYA PENGEMBANGAN PER FITUR &amp; FUNGSI DASAR (VERSI 1.0 - MVP)</t>
  </si>
  <si>
    <t>Modul / Fitur</t>
  </si>
  <si>
    <t>Fungsi Dasar Nyata (Yang Dibayar)</t>
  </si>
  <si>
    <t>Jml Dev</t>
  </si>
  <si>
    <t>Durasi (Hari)</t>
  </si>
  <si>
    <t>Total OH</t>
  </si>
  <si>
    <t>Faktor Kesulitan</t>
  </si>
  <si>
    <t>Harga Dasar / OH</t>
  </si>
  <si>
    <t>Biaya Fungsi (Rp)</t>
  </si>
  <si>
    <t>Versi</t>
  </si>
  <si>
    <t>Desain UI/UX Aplikasi</t>
  </si>
  <si>
    <t>Wireframe &amp; Prototype Alur Pendaftaran</t>
  </si>
  <si>
    <t>V1.0</t>
  </si>
  <si>
    <t>Desain UI Final &amp; Asset Suara Surabaya</t>
  </si>
  <si>
    <t>Autentikasi Pengguna</t>
  </si>
  <si>
    <t>Registrasi Akun Pelamar &amp; Login Sanctum Token</t>
  </si>
  <si>
    <t>Otorisasi Hak Akses</t>
  </si>
  <si>
    <t>Role-Based Access Control (Pelamar, Admin, Pimpinan)</t>
  </si>
  <si>
    <t>Beranda &amp; Info Magang</t>
  </si>
  <si>
    <t>Katalog Profil Divisi &amp; Auto-Slide Banner 5 Detik</t>
  </si>
  <si>
    <t>Formulir Pendaftaran</t>
  </si>
  <si>
    <t>Formulir Multi-Step Data Diri &amp; Asal Kampus</t>
  </si>
  <si>
    <t>Pemilihan Divisi &amp; Validasi Minat Bidang</t>
  </si>
  <si>
    <t>Pengunggahan Berkas</t>
  </si>
  <si>
    <t>Upload Dokumen (CV, KTP/KTM, Surat, Proposal)</t>
  </si>
  <si>
    <t>Validasi Format File &amp; Keamanan Storage Server</t>
  </si>
  <si>
    <t>Portal Pelamar</t>
  </si>
  <si>
    <t>Linimasa Interaktif Status (Menunggu s.d Diterima)</t>
  </si>
  <si>
    <t>Profil Pengguna &amp; Tabel Metadata Akun Sistem</t>
  </si>
  <si>
    <t>Alur Pendaftaran Ulang</t>
  </si>
  <si>
    <t>Deteksi Otomatis Alumni untuk Re-Apply</t>
  </si>
  <si>
    <t>Antrean Admin Redaksi</t>
  </si>
  <si>
    <t>Tabel Antrean Terpusat &amp; Filter Divisi/Status</t>
  </si>
  <si>
    <t>Preview Berkas Dokumen Pelamar Terintegrasi</t>
  </si>
  <si>
    <t>Keputusan Seleksi Admin</t>
  </si>
  <si>
    <t>Modal Form Penerimaan (Input Jadwal &amp; Catatan)</t>
  </si>
  <si>
    <t>Modal Form Penolakan (Input Alasan Penolakan)</t>
  </si>
  <si>
    <t>CRUD Master Divisi Penyiaran &amp; Redaksi</t>
  </si>
  <si>
    <t>Pengaturan Kuota &amp; Buka/Tutup Pendaftaran Manual</t>
  </si>
  <si>
    <t>Antarmuka Responsif</t>
  </si>
  <si>
    <t>Dual Theme (Light &amp; Dark Mode) Kontras Tinggi</t>
  </si>
  <si>
    <t>Deployment Server SS</t>
  </si>
  <si>
    <t>Setup Database PostgreSQL &amp; Skrip 1-Click Launcher</t>
  </si>
  <si>
    <t>Testing &amp; QA Sistem</t>
  </si>
  <si>
    <t>Pengujian Fungsional Black Box Seluruh Alur</t>
  </si>
  <si>
    <t>Subtotal B. Biaya Pengembangan (Versi 1.0 Masuk Total Anggaran)</t>
  </si>
  <si>
    <t>V1.0 Total</t>
  </si>
  <si>
    <t>ROADMAP PENGEMBANGAN LANJUTAN VERSI 2.0 (ADVANCE - TIDAK MASUK ANGGARAN V1.0)</t>
  </si>
  <si>
    <t>Seleksi Cerdas (DSS)</t>
  </si>
  <si>
    <t>Engine DSS Rule 1 (Berkas) &amp; Rule 3 (Sisa Kuota)</t>
  </si>
  <si>
    <t>V2.0</t>
  </si>
  <si>
    <t>Engine DSS Rule 4 (Kesesuaian Jurusan dengan Divisi)</t>
  </si>
  <si>
    <t>Otomasi Kuota Dinamis</t>
  </si>
  <si>
    <t>Auto-Decrement Kuota Real-time &amp; Auto-Lock Divisi</t>
  </si>
  <si>
    <t>Dasbor Analitik Pimpinan</t>
  </si>
  <si>
    <t>Visualisasi Grafik Tren Bulanan &amp; Distribusi Kampus</t>
  </si>
  <si>
    <t>Ekspor Laporan Excel</t>
  </si>
  <si>
    <t>Generate Rekapitulasi Data Pelamar ke Excel (.xlsx)</t>
  </si>
  <si>
    <t>Notifikasi Transaksional</t>
  </si>
  <si>
    <t>Sistem Notifikasi Email Resmi &amp; Pengingat Kedatangan (SMTP)</t>
  </si>
  <si>
    <t>Subtotal Roadmap V2.0 (TIDAK Masuk Total Anggaran V1.0)</t>
  </si>
  <si>
    <t>V2.0 Plan</t>
  </si>
  <si>
    <t>C. BIAYA OPERASIONAL</t>
  </si>
  <si>
    <t>Uraian Operasional</t>
  </si>
  <si>
    <t>Rincian Pelaksanaan</t>
  </si>
  <si>
    <t>Frekuensi</t>
  </si>
  <si>
    <t>Total</t>
  </si>
  <si>
    <t>Harga Satuan (Rp)</t>
  </si>
  <si>
    <t>Sosialisasi &amp; Demo ke Suara Surabaya</t>
  </si>
  <si>
    <t>Presentasi demo sistem langsung ke pimpinan redaksi &amp; staf HRD SS</t>
  </si>
  <si>
    <t>Dokumentasi &amp; Pelatihan Pengguna (Admin)</t>
  </si>
  <si>
    <t>Penyusunan User Manual &amp; sesi pelatihan operasional staf redaksi</t>
  </si>
  <si>
    <t>Subtotal C. Biaya Operasional</t>
  </si>
  <si>
    <t>Jumlah Subtotal (A + B [V1.0] + C)</t>
  </si>
  <si>
    <t>Biaya Tak Terduga (10% dari Subtotal)</t>
  </si>
  <si>
    <t>TOTAL ANGGARAN (BIAYA PRODUKSI V1.0)</t>
  </si>
  <si>
    <t>REKAPITULASI BIAYA PENGEMBANGAN PER FITUR</t>
  </si>
  <si>
    <t>Sistem E-Internship Suara Surabaya Media (Volume dalam Orang-Hari &amp; Paket)</t>
  </si>
  <si>
    <t>Uraian Modul / Fitur Sistem</t>
  </si>
  <si>
    <t>Jumlah Dev</t>
  </si>
  <si>
    <t>A. Pengembangan Fitur V1.0 (Volume dalam Orang-Hari)</t>
  </si>
  <si>
    <t>Desain UI/UX Aplikasi (Wireframe &amp; Branding Suara Surabaya)</t>
  </si>
  <si>
    <t>Autentikasi &amp; Otorisasi RBAC Sanctum Token (3 Role)</t>
  </si>
  <si>
    <t>Beranda &amp; Katalog Profil Divisi (Auto-Slide 5 Detik)</t>
  </si>
  <si>
    <t>Formulir Pendaftaran Multi-Step &amp; Pilihan Divisi</t>
  </si>
  <si>
    <t>Modul Upload Berkas (Validasi CV, KTP, Surat, Proposal)</t>
  </si>
  <si>
    <t>Portal Pelamar &amp; Linimasa Tracking Status</t>
  </si>
  <si>
    <t>Alur Pendaftaran Ulang Alumni Magang (Re-Apply)</t>
  </si>
  <si>
    <t>Antrean Verifikasi Admin &amp; Preview Berkas</t>
  </si>
  <si>
    <t>Form Eksekusi Penerimaan &amp; Penolakan Pelamar</t>
  </si>
  <si>
    <t>Manajemen Kuota Divisi Penyiaran &amp; Redaksi</t>
  </si>
  <si>
    <t>Antarmuka Responsif &amp; Dual Theme (Light &amp; Dark Mode)</t>
  </si>
  <si>
    <t>Deployment Server On-Premise SS &amp; 1-Click Launcher</t>
  </si>
  <si>
    <t>Testing &amp; QA Fungsional Sistem</t>
  </si>
  <si>
    <t>Subtotal A. Pengembangan Fitur V1.0</t>
  </si>
  <si>
    <t>B. Infrastruktur &amp; Lisensi (Volume dalam Paket / Tahun)</t>
  </si>
  <si>
    <t>Server Deployment On-Premise Suara Surabaya (Compute)</t>
  </si>
  <si>
    <t>Database Server Local PostgreSQL (Self-Hosted)</t>
  </si>
  <si>
    <t>Subtotal B. Infrastruktur &amp; Lisensi Tahunan</t>
  </si>
  <si>
    <t>SUMBER DANA &amp; RENCANA PENDANAAN PROYEK</t>
  </si>
  <si>
    <t>Alokasi Pembiayaan Pengembangan Sistem E-Internship Suara Surabaya Media</t>
  </si>
  <si>
    <t>Sumber Dana</t>
  </si>
  <si>
    <t>Keterangan &amp; Rencana Alokasi</t>
  </si>
  <si>
    <t>Jumlah (Rp)</t>
  </si>
  <si>
    <t>% dari Total</t>
  </si>
  <si>
    <t>Dana Mandiri / Patungan Anggota Tim</t>
  </si>
  <si>
    <t>Cadangan tak terduga &amp; operasional transportasi internal tim</t>
  </si>
  <si>
    <t>Dana Kemitraan Klien (Suara Surabaya Media)</t>
  </si>
  <si>
    <t>Alokasi anggaran pengadaan software on-premise (Sesuai BAST/Kontrak Rp 7,5 Jt)</t>
  </si>
  <si>
    <t>Dana Hibah / Kompetisi Capstone Akademik</t>
  </si>
  <si>
    <t>Subsidi luaran tugas Analisis &amp; Perancangan Sistem (SAD UINSA 2026)</t>
  </si>
  <si>
    <t>TOTAL SUMBER DANA</t>
  </si>
  <si>
    <t>Total pendanaan tersedia untuk eksekusi proyek</t>
  </si>
  <si>
    <t>SKEMA PENETAPAN HARGA JUAL KE KLIEN (SUARA SURABAYA MEDIA)</t>
  </si>
  <si>
    <t>Dihitung dari Biaya Produksi Software di sheet 'RAB - Biaya Produksi'</t>
  </si>
  <si>
    <t>Referensi Komponen Biaya Dasar Produksi:</t>
  </si>
  <si>
    <t>Total Biaya Produksi On-Premise Suara Surabaya (A + B + C + Tak Terduga)</t>
  </si>
  <si>
    <t>Biaya Rekayasa Pengembangan Fitur Saja (Bagian B, Versi 1.0)</t>
  </si>
  <si>
    <t>Biaya Infrastruktur Riil Pengadaan Domain &amp; SSL (Bagian A)</t>
  </si>
  <si>
    <t>Margin Keuntungan Model Sekali Bayar</t>
  </si>
  <si>
    <t>(Asumsi margin keuntungan 30% pengadaan perangkat lunak komersial)</t>
  </si>
  <si>
    <t>Margin Serah Terima Penuh &amp; Source Code</t>
  </si>
  <si>
    <t>(Margin 50% karena menyerahkan full source code &amp; hak kelola mandiri)</t>
  </si>
  <si>
    <t>Margin Maintenance Bulanan (SaaS)</t>
  </si>
  <si>
    <t>(Markup 25% di atas biaya infrastruktur bulanan untuk support rutin)</t>
  </si>
  <si>
    <t>PILIHAN MODEL HARGA KE KLIEN:</t>
  </si>
  <si>
    <t>Model Harga</t>
  </si>
  <si>
    <t>Deskripsi untuk Klien</t>
  </si>
  <si>
    <t>Cara Hitung / Formula</t>
  </si>
  <si>
    <t>Estimasi Harga Software</t>
  </si>
  <si>
    <t>Kesesuaian Suara Surabaya Media</t>
  </si>
  <si>
    <t>1. Sewa Cloud Terkelola
(Opsi Cloud Hosting)</t>
  </si>
  <si>
    <t>Opsi jika Suara Surabaya tidak menyediakan server sendiri dan meminta tim menyewa cloud publik (VPS Alibaba Cloud + DB Supabase + Domain). Termasuk garansi 3 bulan.</t>
  </si>
  <si>
    <t>Biaya Dev V1.0 (D6) + Sewa Cloud 1 Th (Rp 10.452.000) + Ops (Rp 800.000) + Margin 30%</t>
  </si>
  <si>
    <t>Opsi pembanding jika tidak memanfaatkan server fisik/on-premise milik Suara Surabaya.</t>
  </si>
  <si>
    <t>2. Berlangganan
(SaaS / B2B)</t>
  </si>
  <si>
    <t>Model langganan terkelola jika sistem dimonetisasi ke perguruan tinggi mitra (Silver/Gold Partnership) dengan akses kuota prioritas.</t>
  </si>
  <si>
    <t>Setup: 50% Biaya Dev (Rp 2.971.000)
Bulanan: Rp 1.088.750 / bln</t>
  </si>
  <si>
    <t>Setup: Rp 2.971.000
Bulanan: Rp 1.088.750</t>
  </si>
  <si>
    <t>Model ideal untuk ekspansi ekosistem kemitraan kampus luar di masa depan.</t>
  </si>
  <si>
    <t>3. Implementasi On-Premise
(Server Suara Surabaya) ⭐</t>
  </si>
  <si>
    <t>Aplikasi di-deploy langsung pada server fisik / VM internal on-premise milik PT Radio Suara Surabaya (Wonokitri). Biaya sewa server cloud dieliminasi (Rp 0), pengeluaran riil infrastruktur hanya Domain &amp; SSL (Rp 252.000/th). Klien mendapatkan paket lengkap seluruh 12 modul fungsi V1.0, pelatihan admin, dan garansi pemeliharaan lokal.</t>
  </si>
  <si>
    <t>Paket Flat Enterprise On-Premise (Full Fitur V1.0 + Pelatihan + Garansi)
(Kesepakatan Khusus Instansi Suara Surabaya Media)</t>
  </si>
  <si>
    <t>MODEL TERPILIH KESEPAKATAN: Paling efisien &amp; hemat biaya karena Suara Surabaya telah memiliki server &amp; tim IT mandiri.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</si>
</sst>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p &quot;#,##0"/>
    <numFmt numFmtId="165" formatCode="0.0%"/>
  </numFmts>
  <fonts count="10" x14ac:knownFonts="1">
    <font>
      <sz val="11"/>
      <color theme="1"/>
      <name val="Calibri"/>
      <family val="2"/>
      <scheme val="minor"/>
    </font>
    <font>
      <b/>
      <sz val="14"/>
      <color rgb="FF1D4ED8"/>
      <name val="Calibri"/>
    </font>
    <font>
      <i/>
      <sz val="10"/>
      <color rgb="FF64748B"/>
      <name val="Calibri"/>
    </font>
    <font>
      <b/>
      <sz val="11"/>
      <color rgb="FF1D4ED8"/>
      <name val="Calibri"/>
    </font>
    <font>
      <b/>
      <sz val="9"/>
      <color rgb="FF1E293B"/>
      <name val="Calibri"/>
    </font>
    <font>
      <sz val="9"/>
      <color rgb="FF1E293B"/>
      <name val="Calibri"/>
    </font>
    <font>
      <sz val="8.5"/>
      <color rgb="FF64748B"/>
      <name val="Calibri"/>
    </font>
    <font>
      <b/>
      <sz val="9"/>
      <color rgb="FFFFFFFF"/>
      <name val="Calibri"/>
    </font>
    <font>
      <b/>
      <sz val="10"/>
      <color rgb="FF1D4ED8"/>
      <name val="Calibri"/>
    </font>
    <font>
      <b/>
      <sz val="9"/>
      <color rgb="FFB91C1C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1F5F9"/>
        <bgColor rgb="FFF1F5F9"/>
      </patternFill>
    </fill>
    <fill>
      <patternFill patternType="solid">
        <fgColor rgb="FF1D4ED8"/>
        <bgColor rgb="FF1D4ED8"/>
      </patternFill>
    </fill>
    <fill>
      <patternFill patternType="solid">
        <fgColor rgb="FFFFFFFF"/>
        <bgColor rgb="FFFFFFFF"/>
      </patternFill>
    </fill>
    <fill>
      <patternFill patternType="solid">
        <fgColor rgb="FFF8FAFC"/>
        <bgColor rgb="FFF8FAFC"/>
      </patternFill>
    </fill>
    <fill>
      <patternFill patternType="solid">
        <fgColor rgb="FFEFF6FF"/>
        <bgColor rgb="FFEFF6FF"/>
      </patternFill>
    </fill>
    <fill>
      <patternFill patternType="solid">
        <fgColor rgb="FFDBEAFE"/>
        <bgColor rgb="FFDBEAFE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double">
        <color rgb="FF1D4ED8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6" fillId="0" borderId="0" xfId="0" applyFont="1"/>
    <xf numFmtId="0" fontId="7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 wrapText="1"/>
    </xf>
    <xf numFmtId="164" fontId="5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 wrapText="1"/>
    </xf>
    <xf numFmtId="164" fontId="5" fillId="5" borderId="1" xfId="0" applyNumberFormat="1" applyFont="1" applyFill="1" applyBorder="1" applyAlignment="1">
      <alignment horizontal="right" vertical="center"/>
    </xf>
    <xf numFmtId="164" fontId="4" fillId="5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0" fillId="6" borderId="2" xfId="0" applyFill="1" applyBorder="1"/>
    <xf numFmtId="0" fontId="8" fillId="6" borderId="2" xfId="0" applyFont="1" applyFill="1" applyBorder="1"/>
    <xf numFmtId="0" fontId="6" fillId="6" borderId="2" xfId="0" applyFont="1" applyFill="1" applyBorder="1"/>
    <xf numFmtId="164" fontId="8" fillId="6" borderId="2" xfId="0" applyNumberFormat="1" applyFont="1" applyFill="1" applyBorder="1" applyAlignment="1">
      <alignment horizontal="right" vertical="center"/>
    </xf>
    <xf numFmtId="0" fontId="4" fillId="0" borderId="0" xfId="0" applyFont="1"/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9" fillId="0" borderId="0" xfId="0" applyFont="1"/>
    <xf numFmtId="0" fontId="0" fillId="4" borderId="1" xfId="0" applyFill="1" applyBorder="1"/>
    <xf numFmtId="0" fontId="6" fillId="4" borderId="1" xfId="0" applyFont="1" applyFill="1" applyBorder="1"/>
    <xf numFmtId="0" fontId="6" fillId="4" borderId="1" xfId="0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right" vertical="center"/>
    </xf>
    <xf numFmtId="0" fontId="4" fillId="0" borderId="1" xfId="0" applyFont="1" applyBorder="1"/>
    <xf numFmtId="164" fontId="4" fillId="0" borderId="1" xfId="0" applyNumberFormat="1" applyFont="1" applyBorder="1" applyAlignment="1">
      <alignment horizontal="right" vertical="center"/>
    </xf>
    <xf numFmtId="0" fontId="8" fillId="7" borderId="2" xfId="0" applyFont="1" applyFill="1" applyBorder="1"/>
    <xf numFmtId="164" fontId="8" fillId="7" borderId="2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/>
    </xf>
    <xf numFmtId="165" fontId="8" fillId="6" borderId="2" xfId="0" applyNumberFormat="1" applyFont="1" applyFill="1" applyBorder="1" applyAlignment="1">
      <alignment horizontal="center" vertical="center"/>
    </xf>
    <xf numFmtId="0" fontId="4" fillId="2" borderId="1" xfId="0" applyFont="1" applyFill="1" applyBorder="1"/>
    <xf numFmtId="164" fontId="4" fillId="2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1" xfId="0" applyFont="1" applyBorder="1"/>
    <xf numFmtId="0" fontId="0" fillId="5" borderId="1" xfId="0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right" vertical="center"/>
    </xf>
    <xf numFmtId="0" fontId="0" fillId="4" borderId="1" xfId="0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left" vertical="center" wrapText="1"/>
    </xf>
    <xf numFmtId="0" fontId="6" fillId="7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33"/>
  <sheetViews>
    <sheetView topLeftCell="A10" workbookViewId="0">
      <selection activeCell="G10" sqref="G10"/>
    </sheetView>
  </sheetViews>
  <sheetFormatPr defaultRowHeight="14.4" x14ac:dyDescent="0.3"/>
  <cols>
    <col min="1" max="1" width="3" customWidth="1"/>
    <col min="2" max="2" width="6" customWidth="1"/>
    <col min="3" max="3" width="30" customWidth="1"/>
    <col min="4" max="4" width="45" customWidth="1"/>
    <col min="5" max="5" width="30" customWidth="1"/>
    <col min="6" max="7" width="20" customWidth="1"/>
    <col min="8" max="8" width="40" customWidth="1"/>
  </cols>
  <sheetData>
    <row r="2" spans="2:8" ht="18" x14ac:dyDescent="0.35">
      <c r="B2" s="1" t="s">
        <v>0</v>
      </c>
    </row>
    <row r="3" spans="2:8" x14ac:dyDescent="0.3">
      <c r="B3" s="2" t="s">
        <v>1</v>
      </c>
    </row>
    <row r="5" spans="2:8" x14ac:dyDescent="0.3">
      <c r="C5" s="3" t="s">
        <v>2</v>
      </c>
    </row>
    <row r="6" spans="2:8" x14ac:dyDescent="0.3">
      <c r="C6" s="4" t="s">
        <v>3</v>
      </c>
      <c r="D6" s="5" t="s">
        <v>4</v>
      </c>
    </row>
    <row r="7" spans="2:8" ht="24" x14ac:dyDescent="0.3">
      <c r="C7" s="4" t="s">
        <v>5</v>
      </c>
      <c r="D7" s="5" t="s">
        <v>6</v>
      </c>
    </row>
    <row r="8" spans="2:8" ht="24" x14ac:dyDescent="0.3">
      <c r="C8" s="4" t="s">
        <v>7</v>
      </c>
      <c r="D8" s="5" t="s">
        <v>8</v>
      </c>
    </row>
    <row r="9" spans="2:8" ht="36" x14ac:dyDescent="0.3">
      <c r="C9" s="4" t="s">
        <v>9</v>
      </c>
      <c r="D9" s="5" t="s">
        <v>10</v>
      </c>
    </row>
    <row r="10" spans="2:8" ht="24" x14ac:dyDescent="0.3">
      <c r="C10" s="4" t="s">
        <v>11</v>
      </c>
      <c r="D10" s="5" t="s">
        <v>12</v>
      </c>
    </row>
    <row r="11" spans="2:8" ht="36" x14ac:dyDescent="0.3">
      <c r="C11" s="4" t="s">
        <v>13</v>
      </c>
      <c r="D11" s="5" t="s">
        <v>14</v>
      </c>
    </row>
    <row r="12" spans="2:8" ht="24" x14ac:dyDescent="0.3">
      <c r="C12" s="4" t="s">
        <v>15</v>
      </c>
      <c r="D12" s="5" t="s">
        <v>16</v>
      </c>
    </row>
    <row r="14" spans="2:8" x14ac:dyDescent="0.3">
      <c r="B14" s="3" t="s">
        <v>17</v>
      </c>
    </row>
    <row r="15" spans="2:8" x14ac:dyDescent="0.3">
      <c r="B15" s="6" t="s">
        <v>18</v>
      </c>
    </row>
    <row r="16" spans="2:8" x14ac:dyDescent="0.3">
      <c r="B16" s="7" t="s">
        <v>19</v>
      </c>
      <c r="C16" s="7" t="s">
        <v>20</v>
      </c>
      <c r="D16" s="7" t="s">
        <v>21</v>
      </c>
      <c r="E16" s="7" t="s">
        <v>22</v>
      </c>
      <c r="F16" s="7" t="s">
        <v>23</v>
      </c>
      <c r="G16" s="7" t="s">
        <v>24</v>
      </c>
      <c r="H16" s="7" t="s">
        <v>25</v>
      </c>
    </row>
    <row r="17" spans="2:8" ht="24" x14ac:dyDescent="0.3">
      <c r="B17" s="8">
        <v>1</v>
      </c>
      <c r="C17" s="9" t="s">
        <v>26</v>
      </c>
      <c r="D17" s="10" t="s">
        <v>27</v>
      </c>
      <c r="E17" s="11">
        <v>4500000</v>
      </c>
      <c r="F17" s="11">
        <v>225000</v>
      </c>
      <c r="G17" s="12">
        <v>30000</v>
      </c>
      <c r="H17" s="10" t="s">
        <v>28</v>
      </c>
    </row>
    <row r="18" spans="2:8" ht="24" x14ac:dyDescent="0.3">
      <c r="B18" s="13">
        <v>2</v>
      </c>
      <c r="C18" s="14" t="s">
        <v>29</v>
      </c>
      <c r="D18" s="15" t="s">
        <v>30</v>
      </c>
      <c r="E18" s="16">
        <v>6000000</v>
      </c>
      <c r="F18" s="16">
        <v>300000</v>
      </c>
      <c r="G18" s="17">
        <v>50000</v>
      </c>
      <c r="H18" s="15" t="s">
        <v>31</v>
      </c>
    </row>
    <row r="19" spans="2:8" ht="24" x14ac:dyDescent="0.3">
      <c r="B19" s="8">
        <v>3</v>
      </c>
      <c r="C19" s="9" t="s">
        <v>32</v>
      </c>
      <c r="D19" s="10" t="s">
        <v>33</v>
      </c>
      <c r="E19" s="11">
        <v>4000000</v>
      </c>
      <c r="F19" s="11">
        <v>200000</v>
      </c>
      <c r="G19" s="12">
        <v>20000</v>
      </c>
      <c r="H19" s="10" t="s">
        <v>34</v>
      </c>
    </row>
    <row r="22" spans="2:8" x14ac:dyDescent="0.3">
      <c r="B22" s="3" t="s">
        <v>35</v>
      </c>
    </row>
    <row r="23" spans="2:8" x14ac:dyDescent="0.3">
      <c r="B23" s="7" t="s">
        <v>19</v>
      </c>
      <c r="C23" s="7" t="s">
        <v>36</v>
      </c>
      <c r="D23" s="7" t="s">
        <v>37</v>
      </c>
      <c r="E23" s="7" t="s">
        <v>38</v>
      </c>
      <c r="F23" s="7" t="s">
        <v>39</v>
      </c>
      <c r="G23" s="7" t="s">
        <v>40</v>
      </c>
      <c r="H23" s="7" t="s">
        <v>41</v>
      </c>
    </row>
    <row r="24" spans="2:8" ht="24" x14ac:dyDescent="0.3">
      <c r="B24" s="8">
        <v>1</v>
      </c>
      <c r="C24" s="9" t="s">
        <v>42</v>
      </c>
      <c r="D24" s="18" t="s">
        <v>43</v>
      </c>
      <c r="E24" s="18" t="s">
        <v>44</v>
      </c>
      <c r="F24" s="11">
        <v>359333</v>
      </c>
      <c r="G24" s="12">
        <v>4312000</v>
      </c>
      <c r="H24" s="10" t="s">
        <v>45</v>
      </c>
    </row>
    <row r="25" spans="2:8" ht="24" x14ac:dyDescent="0.3">
      <c r="B25" s="13">
        <v>2</v>
      </c>
      <c r="C25" s="14" t="s">
        <v>46</v>
      </c>
      <c r="D25" s="19" t="s">
        <v>47</v>
      </c>
      <c r="E25" s="19" t="s">
        <v>48</v>
      </c>
      <c r="F25" s="16">
        <v>449167</v>
      </c>
      <c r="G25" s="17">
        <v>5390000</v>
      </c>
      <c r="H25" s="15" t="s">
        <v>49</v>
      </c>
    </row>
    <row r="26" spans="2:8" ht="24" x14ac:dyDescent="0.3">
      <c r="B26" s="8">
        <v>3</v>
      </c>
      <c r="C26" s="9" t="s">
        <v>50</v>
      </c>
      <c r="D26" s="18" t="s">
        <v>51</v>
      </c>
      <c r="E26" s="18" t="s">
        <v>52</v>
      </c>
      <c r="F26" s="11">
        <v>62500</v>
      </c>
      <c r="G26" s="12">
        <v>750000</v>
      </c>
      <c r="H26" s="10" t="s">
        <v>53</v>
      </c>
    </row>
    <row r="27" spans="2:8" x14ac:dyDescent="0.3">
      <c r="B27" s="20"/>
      <c r="C27" s="21" t="s">
        <v>54</v>
      </c>
      <c r="D27" s="22" t="s">
        <v>55</v>
      </c>
      <c r="E27" s="20"/>
      <c r="F27" s="23">
        <f>SUM(F24:F26)</f>
        <v>871000</v>
      </c>
      <c r="G27" s="23">
        <f>SUM(G24:G26)</f>
        <v>10452000</v>
      </c>
      <c r="H27" s="22" t="s">
        <v>56</v>
      </c>
    </row>
    <row r="29" spans="2:8" x14ac:dyDescent="0.3">
      <c r="B29" s="24" t="s">
        <v>57</v>
      </c>
    </row>
    <row r="30" spans="2:8" x14ac:dyDescent="0.3">
      <c r="B30" s="6" t="s">
        <v>58</v>
      </c>
    </row>
    <row r="31" spans="2:8" x14ac:dyDescent="0.3">
      <c r="B31" s="6" t="s">
        <v>59</v>
      </c>
    </row>
    <row r="32" spans="2:8" x14ac:dyDescent="0.3">
      <c r="B32" s="6" t="s">
        <v>60</v>
      </c>
    </row>
    <row r="33" spans="2:2" x14ac:dyDescent="0.3">
      <c r="B33" s="6" t="s">
        <v>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20"/>
  <sheetViews>
    <sheetView workbookViewId="0"/>
  </sheetViews>
  <sheetFormatPr defaultRowHeight="14.4" x14ac:dyDescent="0.3"/>
  <cols>
    <col min="1" max="1" width="3" customWidth="1"/>
    <col min="2" max="2" width="6" customWidth="1"/>
    <col min="3" max="3" width="22" customWidth="1"/>
    <col min="4" max="4" width="25" customWidth="1"/>
    <col min="5" max="5" width="32" customWidth="1"/>
    <col min="6" max="7" width="45" customWidth="1"/>
    <col min="8" max="8" width="28" customWidth="1"/>
  </cols>
  <sheetData>
    <row r="2" spans="2:8" ht="18" x14ac:dyDescent="0.35">
      <c r="B2" s="1" t="s">
        <v>62</v>
      </c>
    </row>
    <row r="3" spans="2:8" x14ac:dyDescent="0.3">
      <c r="B3" s="2" t="s">
        <v>63</v>
      </c>
    </row>
    <row r="5" spans="2:8" x14ac:dyDescent="0.3">
      <c r="B5" s="7" t="s">
        <v>19</v>
      </c>
      <c r="C5" s="7" t="s">
        <v>64</v>
      </c>
      <c r="D5" s="7" t="s">
        <v>65</v>
      </c>
      <c r="E5" s="7" t="s">
        <v>66</v>
      </c>
      <c r="F5" s="7" t="s">
        <v>67</v>
      </c>
      <c r="G5" s="7" t="s">
        <v>68</v>
      </c>
      <c r="H5" s="7" t="s">
        <v>69</v>
      </c>
    </row>
    <row r="6" spans="2:8" ht="36" x14ac:dyDescent="0.3">
      <c r="B6" s="8">
        <v>1</v>
      </c>
      <c r="C6" s="9" t="s">
        <v>70</v>
      </c>
      <c r="D6" s="18" t="s">
        <v>71</v>
      </c>
      <c r="E6" s="10" t="s">
        <v>72</v>
      </c>
      <c r="F6" s="25" t="s">
        <v>73</v>
      </c>
      <c r="G6" s="10" t="s">
        <v>74</v>
      </c>
      <c r="H6" s="10" t="s">
        <v>75</v>
      </c>
    </row>
    <row r="7" spans="2:8" ht="36" x14ac:dyDescent="0.3">
      <c r="B7" s="13">
        <v>2</v>
      </c>
      <c r="C7" s="14" t="s">
        <v>70</v>
      </c>
      <c r="D7" s="19" t="s">
        <v>76</v>
      </c>
      <c r="E7" s="15" t="s">
        <v>77</v>
      </c>
      <c r="F7" s="26" t="s">
        <v>78</v>
      </c>
      <c r="G7" s="15" t="s">
        <v>79</v>
      </c>
      <c r="H7" s="15" t="s">
        <v>80</v>
      </c>
    </row>
    <row r="8" spans="2:8" ht="36" x14ac:dyDescent="0.3">
      <c r="B8" s="8">
        <v>3</v>
      </c>
      <c r="C8" s="9" t="s">
        <v>70</v>
      </c>
      <c r="D8" s="18" t="s">
        <v>81</v>
      </c>
      <c r="E8" s="10" t="s">
        <v>82</v>
      </c>
      <c r="F8" s="25" t="s">
        <v>83</v>
      </c>
      <c r="G8" s="10" t="s">
        <v>84</v>
      </c>
      <c r="H8" s="10" t="s">
        <v>85</v>
      </c>
    </row>
    <row r="9" spans="2:8" ht="36" x14ac:dyDescent="0.3">
      <c r="B9" s="13">
        <v>4</v>
      </c>
      <c r="C9" s="14" t="s">
        <v>86</v>
      </c>
      <c r="D9" s="19" t="s">
        <v>87</v>
      </c>
      <c r="E9" s="15" t="s">
        <v>88</v>
      </c>
      <c r="F9" s="26" t="s">
        <v>89</v>
      </c>
      <c r="G9" s="15" t="s">
        <v>90</v>
      </c>
      <c r="H9" s="15" t="s">
        <v>75</v>
      </c>
    </row>
    <row r="10" spans="2:8" ht="36" x14ac:dyDescent="0.3">
      <c r="B10" s="8">
        <v>5</v>
      </c>
      <c r="C10" s="9" t="s">
        <v>86</v>
      </c>
      <c r="D10" s="18" t="s">
        <v>91</v>
      </c>
      <c r="E10" s="10" t="s">
        <v>92</v>
      </c>
      <c r="F10" s="25" t="s">
        <v>93</v>
      </c>
      <c r="G10" s="10" t="s">
        <v>94</v>
      </c>
      <c r="H10" s="10" t="s">
        <v>95</v>
      </c>
    </row>
    <row r="11" spans="2:8" ht="36" x14ac:dyDescent="0.3">
      <c r="B11" s="13">
        <v>6</v>
      </c>
      <c r="C11" s="14" t="s">
        <v>96</v>
      </c>
      <c r="D11" s="19" t="s">
        <v>97</v>
      </c>
      <c r="E11" s="15" t="s">
        <v>98</v>
      </c>
      <c r="F11" s="26" t="s">
        <v>99</v>
      </c>
      <c r="G11" s="15" t="s">
        <v>100</v>
      </c>
      <c r="H11" s="15" t="s">
        <v>101</v>
      </c>
    </row>
    <row r="12" spans="2:8" ht="36" x14ac:dyDescent="0.3">
      <c r="B12" s="8">
        <v>7</v>
      </c>
      <c r="C12" s="9" t="s">
        <v>96</v>
      </c>
      <c r="D12" s="18" t="s">
        <v>102</v>
      </c>
      <c r="E12" s="10" t="s">
        <v>103</v>
      </c>
      <c r="F12" s="25" t="s">
        <v>104</v>
      </c>
      <c r="G12" s="10" t="s">
        <v>105</v>
      </c>
      <c r="H12" s="10" t="s">
        <v>106</v>
      </c>
    </row>
    <row r="13" spans="2:8" ht="36" x14ac:dyDescent="0.3">
      <c r="B13" s="13">
        <v>8</v>
      </c>
      <c r="C13" s="14" t="s">
        <v>107</v>
      </c>
      <c r="D13" s="19" t="s">
        <v>108</v>
      </c>
      <c r="E13" s="15" t="s">
        <v>109</v>
      </c>
      <c r="F13" s="26" t="s">
        <v>110</v>
      </c>
      <c r="G13" s="15" t="s">
        <v>111</v>
      </c>
      <c r="H13" s="15" t="s">
        <v>112</v>
      </c>
    </row>
    <row r="14" spans="2:8" ht="36" x14ac:dyDescent="0.3">
      <c r="B14" s="8">
        <v>9</v>
      </c>
      <c r="C14" s="9" t="s">
        <v>113</v>
      </c>
      <c r="D14" s="18" t="s">
        <v>114</v>
      </c>
      <c r="E14" s="10" t="s">
        <v>115</v>
      </c>
      <c r="F14" s="25" t="s">
        <v>116</v>
      </c>
      <c r="G14" s="10" t="s">
        <v>117</v>
      </c>
      <c r="H14" s="10" t="s">
        <v>118</v>
      </c>
    </row>
    <row r="15" spans="2:8" ht="36" x14ac:dyDescent="0.3">
      <c r="B15" s="13">
        <v>10</v>
      </c>
      <c r="C15" s="14" t="s">
        <v>113</v>
      </c>
      <c r="D15" s="19" t="s">
        <v>119</v>
      </c>
      <c r="E15" s="15" t="s">
        <v>120</v>
      </c>
      <c r="F15" s="26" t="s">
        <v>121</v>
      </c>
      <c r="G15" s="15" t="s">
        <v>122</v>
      </c>
      <c r="H15" s="15" t="s">
        <v>123</v>
      </c>
    </row>
    <row r="16" spans="2:8" ht="36" x14ac:dyDescent="0.3">
      <c r="B16" s="8">
        <v>11</v>
      </c>
      <c r="C16" s="9" t="s">
        <v>124</v>
      </c>
      <c r="D16" s="18" t="s">
        <v>125</v>
      </c>
      <c r="E16" s="10" t="s">
        <v>126</v>
      </c>
      <c r="F16" s="25" t="s">
        <v>127</v>
      </c>
      <c r="G16" s="10" t="s">
        <v>128</v>
      </c>
      <c r="H16" s="10" t="s">
        <v>129</v>
      </c>
    </row>
    <row r="17" spans="2:8" ht="36" x14ac:dyDescent="0.3">
      <c r="B17" s="13">
        <v>12</v>
      </c>
      <c r="C17" s="14" t="s">
        <v>130</v>
      </c>
      <c r="D17" s="19" t="s">
        <v>131</v>
      </c>
      <c r="E17" s="15" t="s">
        <v>132</v>
      </c>
      <c r="F17" s="26" t="s">
        <v>133</v>
      </c>
      <c r="G17" s="15" t="s">
        <v>134</v>
      </c>
      <c r="H17" s="15" t="s">
        <v>135</v>
      </c>
    </row>
    <row r="18" spans="2:8" ht="36" x14ac:dyDescent="0.3">
      <c r="B18" s="8">
        <v>13</v>
      </c>
      <c r="C18" s="9" t="s">
        <v>136</v>
      </c>
      <c r="D18" s="18" t="s">
        <v>137</v>
      </c>
      <c r="E18" s="10" t="s">
        <v>138</v>
      </c>
      <c r="F18" s="25" t="s">
        <v>139</v>
      </c>
      <c r="G18" s="10" t="s">
        <v>140</v>
      </c>
      <c r="H18" s="10" t="s">
        <v>141</v>
      </c>
    </row>
    <row r="19" spans="2:8" ht="36" x14ac:dyDescent="0.3">
      <c r="B19" s="13">
        <v>14</v>
      </c>
      <c r="C19" s="14" t="s">
        <v>142</v>
      </c>
      <c r="D19" s="19" t="s">
        <v>143</v>
      </c>
      <c r="E19" s="15" t="s">
        <v>144</v>
      </c>
      <c r="F19" s="26" t="s">
        <v>145</v>
      </c>
      <c r="G19" s="15" t="s">
        <v>146</v>
      </c>
      <c r="H19" s="15" t="s">
        <v>147</v>
      </c>
    </row>
    <row r="20" spans="2:8" ht="36" x14ac:dyDescent="0.3">
      <c r="B20" s="8">
        <v>15</v>
      </c>
      <c r="C20" s="9" t="s">
        <v>148</v>
      </c>
      <c r="D20" s="18" t="s">
        <v>149</v>
      </c>
      <c r="E20" s="10" t="s">
        <v>150</v>
      </c>
      <c r="F20" s="25" t="s">
        <v>151</v>
      </c>
      <c r="G20" s="10" t="s">
        <v>152</v>
      </c>
      <c r="H20" s="10" t="s">
        <v>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3"/>
  <sheetViews>
    <sheetView topLeftCell="A27" workbookViewId="0"/>
  </sheetViews>
  <sheetFormatPr defaultRowHeight="14.4" x14ac:dyDescent="0.3"/>
  <cols>
    <col min="1" max="1" width="3" customWidth="1"/>
    <col min="2" max="2" width="6" customWidth="1"/>
    <col min="3" max="3" width="28" customWidth="1"/>
    <col min="4" max="4" width="44" customWidth="1"/>
    <col min="5" max="5" width="10" customWidth="1"/>
    <col min="6" max="6" width="12" customWidth="1"/>
    <col min="7" max="7" width="10" customWidth="1"/>
    <col min="8" max="8" width="16" customWidth="1"/>
    <col min="9" max="9" width="18" customWidth="1"/>
    <col min="10" max="10" width="20" customWidth="1"/>
    <col min="11" max="11" width="10" customWidth="1"/>
  </cols>
  <sheetData>
    <row r="1" spans="2:11" ht="18" x14ac:dyDescent="0.35">
      <c r="B1" s="1" t="s">
        <v>154</v>
      </c>
    </row>
    <row r="2" spans="2:11" x14ac:dyDescent="0.3">
      <c r="B2" s="2" t="s">
        <v>155</v>
      </c>
    </row>
    <row r="4" spans="2:11" x14ac:dyDescent="0.3">
      <c r="B4" s="3" t="s">
        <v>156</v>
      </c>
    </row>
    <row r="5" spans="2:11" x14ac:dyDescent="0.3">
      <c r="B5" s="7" t="s">
        <v>19</v>
      </c>
      <c r="C5" s="7" t="s">
        <v>157</v>
      </c>
      <c r="D5" s="7" t="s">
        <v>158</v>
      </c>
      <c r="E5" s="7" t="s">
        <v>159</v>
      </c>
      <c r="F5" s="7" t="s">
        <v>160</v>
      </c>
      <c r="G5" s="7" t="s">
        <v>161</v>
      </c>
      <c r="H5" s="7" t="s">
        <v>162</v>
      </c>
      <c r="I5" s="7" t="s">
        <v>163</v>
      </c>
    </row>
    <row r="6" spans="2:11" x14ac:dyDescent="0.3">
      <c r="B6" s="8">
        <v>1</v>
      </c>
      <c r="C6" s="9" t="s">
        <v>164</v>
      </c>
      <c r="D6" s="18" t="s">
        <v>165</v>
      </c>
      <c r="E6" s="8">
        <v>1</v>
      </c>
      <c r="F6" s="8">
        <v>1</v>
      </c>
      <c r="G6" s="27">
        <f>E6*F6</f>
        <v>1</v>
      </c>
      <c r="H6" s="11">
        <v>0</v>
      </c>
      <c r="I6" s="12">
        <f>G6*H6</f>
        <v>0</v>
      </c>
    </row>
    <row r="7" spans="2:11" x14ac:dyDescent="0.3">
      <c r="B7" s="13">
        <v>2</v>
      </c>
      <c r="C7" s="14" t="s">
        <v>166</v>
      </c>
      <c r="D7" s="19" t="s">
        <v>167</v>
      </c>
      <c r="E7" s="13">
        <v>1</v>
      </c>
      <c r="F7" s="13">
        <v>1</v>
      </c>
      <c r="G7" s="28">
        <f>E7*F7</f>
        <v>1</v>
      </c>
      <c r="H7" s="16">
        <v>0</v>
      </c>
      <c r="I7" s="17">
        <f>G7*H7</f>
        <v>0</v>
      </c>
    </row>
    <row r="8" spans="2:11" x14ac:dyDescent="0.3">
      <c r="B8" s="8">
        <v>3</v>
      </c>
      <c r="C8" s="9" t="s">
        <v>168</v>
      </c>
      <c r="D8" s="18" t="s">
        <v>169</v>
      </c>
      <c r="E8" s="8">
        <v>1</v>
      </c>
      <c r="F8" s="8">
        <v>1</v>
      </c>
      <c r="G8" s="27">
        <f>E8*F8</f>
        <v>1</v>
      </c>
      <c r="H8" s="11">
        <v>252000</v>
      </c>
      <c r="I8" s="12">
        <f>G8*H8</f>
        <v>252000</v>
      </c>
    </row>
    <row r="9" spans="2:11" x14ac:dyDescent="0.3">
      <c r="B9" s="20"/>
      <c r="C9" s="21" t="s">
        <v>170</v>
      </c>
      <c r="D9" s="20"/>
      <c r="E9" s="20"/>
      <c r="F9" s="20"/>
      <c r="G9" s="20"/>
      <c r="H9" s="20"/>
      <c r="I9" s="23">
        <f>SUM(I6:I8)</f>
        <v>252000</v>
      </c>
    </row>
    <row r="11" spans="2:11" x14ac:dyDescent="0.3">
      <c r="B11" s="3" t="s">
        <v>171</v>
      </c>
    </row>
    <row r="12" spans="2:11" x14ac:dyDescent="0.3">
      <c r="B12" s="7" t="s">
        <v>19</v>
      </c>
      <c r="C12" s="7" t="s">
        <v>172</v>
      </c>
      <c r="D12" s="7" t="s">
        <v>173</v>
      </c>
      <c r="E12" s="7" t="s">
        <v>174</v>
      </c>
      <c r="F12" s="7" t="s">
        <v>175</v>
      </c>
      <c r="G12" s="7" t="s">
        <v>176</v>
      </c>
      <c r="H12" s="7" t="s">
        <v>177</v>
      </c>
      <c r="I12" s="7" t="s">
        <v>178</v>
      </c>
      <c r="J12" s="7" t="s">
        <v>179</v>
      </c>
      <c r="K12" s="7" t="s">
        <v>180</v>
      </c>
    </row>
    <row r="13" spans="2:11" x14ac:dyDescent="0.3">
      <c r="B13" s="8">
        <v>1</v>
      </c>
      <c r="C13" s="9" t="s">
        <v>181</v>
      </c>
      <c r="D13" s="18" t="s">
        <v>182</v>
      </c>
      <c r="E13" s="8">
        <v>1</v>
      </c>
      <c r="F13" s="8">
        <v>3</v>
      </c>
      <c r="G13" s="27">
        <f t="shared" ref="G13:G33" si="0">E13*F13</f>
        <v>3</v>
      </c>
      <c r="H13" s="8">
        <v>1</v>
      </c>
      <c r="I13" s="11">
        <v>30000</v>
      </c>
      <c r="J13" s="12">
        <f t="shared" ref="J13:J33" si="1">G13*H13*I13</f>
        <v>90000</v>
      </c>
      <c r="K13" s="8" t="s">
        <v>183</v>
      </c>
    </row>
    <row r="14" spans="2:11" x14ac:dyDescent="0.3">
      <c r="B14" s="13">
        <v>2</v>
      </c>
      <c r="C14" s="14" t="s">
        <v>181</v>
      </c>
      <c r="D14" s="19" t="s">
        <v>184</v>
      </c>
      <c r="E14" s="13">
        <v>1</v>
      </c>
      <c r="F14" s="13">
        <v>3</v>
      </c>
      <c r="G14" s="28">
        <f t="shared" si="0"/>
        <v>3</v>
      </c>
      <c r="H14" s="13">
        <v>1.3</v>
      </c>
      <c r="I14" s="16">
        <v>30000</v>
      </c>
      <c r="J14" s="17">
        <f t="shared" si="1"/>
        <v>117000.00000000001</v>
      </c>
      <c r="K14" s="13" t="s">
        <v>183</v>
      </c>
    </row>
    <row r="15" spans="2:11" x14ac:dyDescent="0.3">
      <c r="B15" s="8">
        <v>3</v>
      </c>
      <c r="C15" s="9" t="s">
        <v>185</v>
      </c>
      <c r="D15" s="18" t="s">
        <v>186</v>
      </c>
      <c r="E15" s="8">
        <v>2</v>
      </c>
      <c r="F15" s="8">
        <v>3</v>
      </c>
      <c r="G15" s="27">
        <f t="shared" si="0"/>
        <v>6</v>
      </c>
      <c r="H15" s="8">
        <v>1</v>
      </c>
      <c r="I15" s="11">
        <v>50000</v>
      </c>
      <c r="J15" s="12">
        <f t="shared" si="1"/>
        <v>300000</v>
      </c>
      <c r="K15" s="8" t="s">
        <v>183</v>
      </c>
    </row>
    <row r="16" spans="2:11" x14ac:dyDescent="0.3">
      <c r="B16" s="13">
        <v>4</v>
      </c>
      <c r="C16" s="14" t="s">
        <v>187</v>
      </c>
      <c r="D16" s="19" t="s">
        <v>188</v>
      </c>
      <c r="E16" s="13">
        <v>2</v>
      </c>
      <c r="F16" s="13">
        <v>2</v>
      </c>
      <c r="G16" s="28">
        <f t="shared" si="0"/>
        <v>4</v>
      </c>
      <c r="H16" s="13">
        <v>1.3</v>
      </c>
      <c r="I16" s="16">
        <v>50000</v>
      </c>
      <c r="J16" s="17">
        <f t="shared" si="1"/>
        <v>260000</v>
      </c>
      <c r="K16" s="13" t="s">
        <v>183</v>
      </c>
    </row>
    <row r="17" spans="2:11" x14ac:dyDescent="0.3">
      <c r="B17" s="8">
        <v>5</v>
      </c>
      <c r="C17" s="9" t="s">
        <v>189</v>
      </c>
      <c r="D17" s="18" t="s">
        <v>190</v>
      </c>
      <c r="E17" s="8">
        <v>1</v>
      </c>
      <c r="F17" s="8">
        <v>3</v>
      </c>
      <c r="G17" s="27">
        <f t="shared" si="0"/>
        <v>3</v>
      </c>
      <c r="H17" s="8">
        <v>1</v>
      </c>
      <c r="I17" s="11">
        <v>50000</v>
      </c>
      <c r="J17" s="12">
        <f t="shared" si="1"/>
        <v>150000</v>
      </c>
      <c r="K17" s="8" t="s">
        <v>183</v>
      </c>
    </row>
    <row r="18" spans="2:11" x14ac:dyDescent="0.3">
      <c r="B18" s="13">
        <v>6</v>
      </c>
      <c r="C18" s="14" t="s">
        <v>191</v>
      </c>
      <c r="D18" s="19" t="s">
        <v>192</v>
      </c>
      <c r="E18" s="13">
        <v>2</v>
      </c>
      <c r="F18" s="13">
        <v>3</v>
      </c>
      <c r="G18" s="28">
        <f t="shared" si="0"/>
        <v>6</v>
      </c>
      <c r="H18" s="13">
        <v>1</v>
      </c>
      <c r="I18" s="16">
        <v>50000</v>
      </c>
      <c r="J18" s="17">
        <f t="shared" si="1"/>
        <v>300000</v>
      </c>
      <c r="K18" s="13" t="s">
        <v>183</v>
      </c>
    </row>
    <row r="19" spans="2:11" x14ac:dyDescent="0.3">
      <c r="B19" s="8">
        <v>7</v>
      </c>
      <c r="C19" s="9" t="s">
        <v>191</v>
      </c>
      <c r="D19" s="18" t="s">
        <v>193</v>
      </c>
      <c r="E19" s="8">
        <v>2</v>
      </c>
      <c r="F19" s="8">
        <v>2</v>
      </c>
      <c r="G19" s="27">
        <f t="shared" si="0"/>
        <v>4</v>
      </c>
      <c r="H19" s="8">
        <v>1.3</v>
      </c>
      <c r="I19" s="11">
        <v>50000</v>
      </c>
      <c r="J19" s="12">
        <f t="shared" si="1"/>
        <v>260000</v>
      </c>
      <c r="K19" s="8" t="s">
        <v>183</v>
      </c>
    </row>
    <row r="20" spans="2:11" x14ac:dyDescent="0.3">
      <c r="B20" s="13">
        <v>8</v>
      </c>
      <c r="C20" s="14" t="s">
        <v>194</v>
      </c>
      <c r="D20" s="19" t="s">
        <v>195</v>
      </c>
      <c r="E20" s="13">
        <v>2</v>
      </c>
      <c r="F20" s="13">
        <v>3</v>
      </c>
      <c r="G20" s="28">
        <f t="shared" si="0"/>
        <v>6</v>
      </c>
      <c r="H20" s="13">
        <v>1.3</v>
      </c>
      <c r="I20" s="16">
        <v>50000</v>
      </c>
      <c r="J20" s="17">
        <f t="shared" si="1"/>
        <v>390000.00000000006</v>
      </c>
      <c r="K20" s="13" t="s">
        <v>183</v>
      </c>
    </row>
    <row r="21" spans="2:11" x14ac:dyDescent="0.3">
      <c r="B21" s="8">
        <v>9</v>
      </c>
      <c r="C21" s="9" t="s">
        <v>194</v>
      </c>
      <c r="D21" s="18" t="s">
        <v>196</v>
      </c>
      <c r="E21" s="8">
        <v>2</v>
      </c>
      <c r="F21" s="8">
        <v>2</v>
      </c>
      <c r="G21" s="27">
        <f t="shared" si="0"/>
        <v>4</v>
      </c>
      <c r="H21" s="8">
        <v>1.3</v>
      </c>
      <c r="I21" s="11">
        <v>50000</v>
      </c>
      <c r="J21" s="12">
        <f t="shared" si="1"/>
        <v>260000</v>
      </c>
      <c r="K21" s="8" t="s">
        <v>183</v>
      </c>
    </row>
    <row r="22" spans="2:11" x14ac:dyDescent="0.3">
      <c r="B22" s="13">
        <v>10</v>
      </c>
      <c r="C22" s="14" t="s">
        <v>197</v>
      </c>
      <c r="D22" s="19" t="s">
        <v>198</v>
      </c>
      <c r="E22" s="13">
        <v>2</v>
      </c>
      <c r="F22" s="13">
        <v>3</v>
      </c>
      <c r="G22" s="28">
        <f t="shared" si="0"/>
        <v>6</v>
      </c>
      <c r="H22" s="13">
        <v>1</v>
      </c>
      <c r="I22" s="16">
        <v>50000</v>
      </c>
      <c r="J22" s="17">
        <f t="shared" si="1"/>
        <v>300000</v>
      </c>
      <c r="K22" s="13" t="s">
        <v>183</v>
      </c>
    </row>
    <row r="23" spans="2:11" x14ac:dyDescent="0.3">
      <c r="B23" s="8">
        <v>11</v>
      </c>
      <c r="C23" s="9" t="s">
        <v>197</v>
      </c>
      <c r="D23" s="18" t="s">
        <v>199</v>
      </c>
      <c r="E23" s="8">
        <v>1</v>
      </c>
      <c r="F23" s="8">
        <v>2</v>
      </c>
      <c r="G23" s="27">
        <f t="shared" si="0"/>
        <v>2</v>
      </c>
      <c r="H23" s="8">
        <v>1</v>
      </c>
      <c r="I23" s="11">
        <v>50000</v>
      </c>
      <c r="J23" s="12">
        <f t="shared" si="1"/>
        <v>100000</v>
      </c>
      <c r="K23" s="8" t="s">
        <v>183</v>
      </c>
    </row>
    <row r="24" spans="2:11" x14ac:dyDescent="0.3">
      <c r="B24" s="13">
        <v>12</v>
      </c>
      <c r="C24" s="14" t="s">
        <v>200</v>
      </c>
      <c r="D24" s="19" t="s">
        <v>201</v>
      </c>
      <c r="E24" s="13">
        <v>2</v>
      </c>
      <c r="F24" s="13">
        <v>2</v>
      </c>
      <c r="G24" s="28">
        <f t="shared" si="0"/>
        <v>4</v>
      </c>
      <c r="H24" s="13">
        <v>1.3</v>
      </c>
      <c r="I24" s="16">
        <v>50000</v>
      </c>
      <c r="J24" s="17">
        <f t="shared" si="1"/>
        <v>260000</v>
      </c>
      <c r="K24" s="13" t="s">
        <v>183</v>
      </c>
    </row>
    <row r="25" spans="2:11" x14ac:dyDescent="0.3">
      <c r="B25" s="8">
        <v>13</v>
      </c>
      <c r="C25" s="9" t="s">
        <v>202</v>
      </c>
      <c r="D25" s="18" t="s">
        <v>203</v>
      </c>
      <c r="E25" s="8">
        <v>2</v>
      </c>
      <c r="F25" s="8">
        <v>3</v>
      </c>
      <c r="G25" s="27">
        <f t="shared" si="0"/>
        <v>6</v>
      </c>
      <c r="H25" s="8">
        <v>1</v>
      </c>
      <c r="I25" s="11">
        <v>50000</v>
      </c>
      <c r="J25" s="12">
        <f t="shared" si="1"/>
        <v>300000</v>
      </c>
      <c r="K25" s="8" t="s">
        <v>183</v>
      </c>
    </row>
    <row r="26" spans="2:11" x14ac:dyDescent="0.3">
      <c r="B26" s="13">
        <v>14</v>
      </c>
      <c r="C26" s="14" t="s">
        <v>202</v>
      </c>
      <c r="D26" s="19" t="s">
        <v>204</v>
      </c>
      <c r="E26" s="13">
        <v>2</v>
      </c>
      <c r="F26" s="13">
        <v>2</v>
      </c>
      <c r="G26" s="28">
        <f t="shared" si="0"/>
        <v>4</v>
      </c>
      <c r="H26" s="13">
        <v>1.3</v>
      </c>
      <c r="I26" s="16">
        <v>50000</v>
      </c>
      <c r="J26" s="17">
        <f t="shared" si="1"/>
        <v>260000</v>
      </c>
      <c r="K26" s="13" t="s">
        <v>183</v>
      </c>
    </row>
    <row r="27" spans="2:11" x14ac:dyDescent="0.3">
      <c r="B27" s="8">
        <v>15</v>
      </c>
      <c r="C27" s="9" t="s">
        <v>205</v>
      </c>
      <c r="D27" s="18" t="s">
        <v>206</v>
      </c>
      <c r="E27" s="8">
        <v>2</v>
      </c>
      <c r="F27" s="8">
        <v>2</v>
      </c>
      <c r="G27" s="27">
        <f t="shared" si="0"/>
        <v>4</v>
      </c>
      <c r="H27" s="8">
        <v>1</v>
      </c>
      <c r="I27" s="11">
        <v>50000</v>
      </c>
      <c r="J27" s="12">
        <f t="shared" si="1"/>
        <v>200000</v>
      </c>
      <c r="K27" s="8" t="s">
        <v>183</v>
      </c>
    </row>
    <row r="28" spans="2:11" x14ac:dyDescent="0.3">
      <c r="B28" s="13">
        <v>16</v>
      </c>
      <c r="C28" s="14" t="s">
        <v>205</v>
      </c>
      <c r="D28" s="19" t="s">
        <v>207</v>
      </c>
      <c r="E28" s="13">
        <v>2</v>
      </c>
      <c r="F28" s="13">
        <v>1</v>
      </c>
      <c r="G28" s="28">
        <f t="shared" si="0"/>
        <v>2</v>
      </c>
      <c r="H28" s="13">
        <v>1</v>
      </c>
      <c r="I28" s="16">
        <v>50000</v>
      </c>
      <c r="J28" s="17">
        <f t="shared" si="1"/>
        <v>100000</v>
      </c>
      <c r="K28" s="13" t="s">
        <v>183</v>
      </c>
    </row>
    <row r="29" spans="2:11" x14ac:dyDescent="0.3">
      <c r="B29" s="8">
        <v>17</v>
      </c>
      <c r="C29" s="9" t="s">
        <v>96</v>
      </c>
      <c r="D29" s="18" t="s">
        <v>208</v>
      </c>
      <c r="E29" s="8">
        <v>2</v>
      </c>
      <c r="F29" s="8">
        <v>2</v>
      </c>
      <c r="G29" s="27">
        <f t="shared" si="0"/>
        <v>4</v>
      </c>
      <c r="H29" s="8">
        <v>1</v>
      </c>
      <c r="I29" s="11">
        <v>50000</v>
      </c>
      <c r="J29" s="12">
        <f t="shared" si="1"/>
        <v>200000</v>
      </c>
      <c r="K29" s="8" t="s">
        <v>183</v>
      </c>
    </row>
    <row r="30" spans="2:11" x14ac:dyDescent="0.3">
      <c r="B30" s="13">
        <v>18</v>
      </c>
      <c r="C30" s="14" t="s">
        <v>96</v>
      </c>
      <c r="D30" s="19" t="s">
        <v>209</v>
      </c>
      <c r="E30" s="13">
        <v>2</v>
      </c>
      <c r="F30" s="13">
        <v>2</v>
      </c>
      <c r="G30" s="28">
        <f t="shared" si="0"/>
        <v>4</v>
      </c>
      <c r="H30" s="13">
        <v>1</v>
      </c>
      <c r="I30" s="16">
        <v>50000</v>
      </c>
      <c r="J30" s="17">
        <f t="shared" si="1"/>
        <v>200000</v>
      </c>
      <c r="K30" s="13" t="s">
        <v>183</v>
      </c>
    </row>
    <row r="31" spans="2:11" x14ac:dyDescent="0.3">
      <c r="B31" s="8">
        <v>19</v>
      </c>
      <c r="C31" s="9" t="s">
        <v>210</v>
      </c>
      <c r="D31" s="18" t="s">
        <v>211</v>
      </c>
      <c r="E31" s="8">
        <v>2</v>
      </c>
      <c r="F31" s="8">
        <v>3</v>
      </c>
      <c r="G31" s="27">
        <f t="shared" si="0"/>
        <v>6</v>
      </c>
      <c r="H31" s="8">
        <v>1.3</v>
      </c>
      <c r="I31" s="11">
        <v>50000</v>
      </c>
      <c r="J31" s="12">
        <f t="shared" si="1"/>
        <v>390000.00000000006</v>
      </c>
      <c r="K31" s="8" t="s">
        <v>183</v>
      </c>
    </row>
    <row r="32" spans="2:11" x14ac:dyDescent="0.3">
      <c r="B32" s="13">
        <v>20</v>
      </c>
      <c r="C32" s="14" t="s">
        <v>212</v>
      </c>
      <c r="D32" s="19" t="s">
        <v>213</v>
      </c>
      <c r="E32" s="13">
        <v>1</v>
      </c>
      <c r="F32" s="13">
        <v>4</v>
      </c>
      <c r="G32" s="28">
        <f t="shared" si="0"/>
        <v>4</v>
      </c>
      <c r="H32" s="13">
        <v>1.3</v>
      </c>
      <c r="I32" s="16">
        <v>50000</v>
      </c>
      <c r="J32" s="17">
        <f t="shared" si="1"/>
        <v>260000</v>
      </c>
      <c r="K32" s="13" t="s">
        <v>183</v>
      </c>
    </row>
    <row r="33" spans="2:11" x14ac:dyDescent="0.3">
      <c r="B33" s="8">
        <v>21</v>
      </c>
      <c r="C33" s="9" t="s">
        <v>214</v>
      </c>
      <c r="D33" s="18" t="s">
        <v>215</v>
      </c>
      <c r="E33" s="8">
        <v>1</v>
      </c>
      <c r="F33" s="8">
        <v>5</v>
      </c>
      <c r="G33" s="27">
        <f t="shared" si="0"/>
        <v>5</v>
      </c>
      <c r="H33" s="8">
        <v>1</v>
      </c>
      <c r="I33" s="11">
        <v>20000</v>
      </c>
      <c r="J33" s="12">
        <f t="shared" si="1"/>
        <v>100000</v>
      </c>
      <c r="K33" s="8" t="s">
        <v>183</v>
      </c>
    </row>
    <row r="34" spans="2:11" x14ac:dyDescent="0.3">
      <c r="B34" s="20"/>
      <c r="C34" s="21" t="s">
        <v>216</v>
      </c>
      <c r="D34" s="20"/>
      <c r="E34" s="20"/>
      <c r="F34" s="20"/>
      <c r="G34" s="29">
        <f>SUM(G13:G33)</f>
        <v>90</v>
      </c>
      <c r="H34" s="20"/>
      <c r="I34" s="20"/>
      <c r="J34" s="23">
        <f>SUM(J13:J33)</f>
        <v>4797000</v>
      </c>
      <c r="K34" s="30" t="s">
        <v>217</v>
      </c>
    </row>
    <row r="36" spans="2:11" x14ac:dyDescent="0.3">
      <c r="B36" s="31" t="s">
        <v>218</v>
      </c>
    </row>
    <row r="37" spans="2:11" x14ac:dyDescent="0.3">
      <c r="B37" s="8">
        <v>22</v>
      </c>
      <c r="C37" s="9" t="s">
        <v>219</v>
      </c>
      <c r="D37" s="18" t="s">
        <v>220</v>
      </c>
      <c r="E37" s="8">
        <v>2</v>
      </c>
      <c r="F37" s="8">
        <v>4</v>
      </c>
      <c r="G37" s="27">
        <f t="shared" ref="G37:G42" si="2">E37*F37</f>
        <v>8</v>
      </c>
      <c r="H37" s="8">
        <v>1.6</v>
      </c>
      <c r="I37" s="11">
        <v>50000</v>
      </c>
      <c r="J37" s="12">
        <f t="shared" ref="J37:J42" si="3">G37*H37*I37</f>
        <v>640000</v>
      </c>
      <c r="K37" s="8" t="s">
        <v>221</v>
      </c>
    </row>
    <row r="38" spans="2:11" x14ac:dyDescent="0.3">
      <c r="B38" s="13">
        <v>23</v>
      </c>
      <c r="C38" s="14" t="s">
        <v>219</v>
      </c>
      <c r="D38" s="19" t="s">
        <v>222</v>
      </c>
      <c r="E38" s="13">
        <v>2</v>
      </c>
      <c r="F38" s="13">
        <v>5</v>
      </c>
      <c r="G38" s="28">
        <f t="shared" si="2"/>
        <v>10</v>
      </c>
      <c r="H38" s="13">
        <v>1.6</v>
      </c>
      <c r="I38" s="16">
        <v>50000</v>
      </c>
      <c r="J38" s="17">
        <f t="shared" si="3"/>
        <v>800000</v>
      </c>
      <c r="K38" s="13" t="s">
        <v>221</v>
      </c>
    </row>
    <row r="39" spans="2:11" x14ac:dyDescent="0.3">
      <c r="B39" s="8">
        <v>24</v>
      </c>
      <c r="C39" s="9" t="s">
        <v>223</v>
      </c>
      <c r="D39" s="18" t="s">
        <v>224</v>
      </c>
      <c r="E39" s="8">
        <v>2</v>
      </c>
      <c r="F39" s="8">
        <v>3</v>
      </c>
      <c r="G39" s="27">
        <f t="shared" si="2"/>
        <v>6</v>
      </c>
      <c r="H39" s="8">
        <v>1.6</v>
      </c>
      <c r="I39" s="11">
        <v>50000</v>
      </c>
      <c r="J39" s="12">
        <f t="shared" si="3"/>
        <v>480000.00000000006</v>
      </c>
      <c r="K39" s="8" t="s">
        <v>221</v>
      </c>
    </row>
    <row r="40" spans="2:11" x14ac:dyDescent="0.3">
      <c r="B40" s="13">
        <v>25</v>
      </c>
      <c r="C40" s="14" t="s">
        <v>225</v>
      </c>
      <c r="D40" s="19" t="s">
        <v>226</v>
      </c>
      <c r="E40" s="13">
        <v>2</v>
      </c>
      <c r="F40" s="13">
        <v>4</v>
      </c>
      <c r="G40" s="28">
        <f t="shared" si="2"/>
        <v>8</v>
      </c>
      <c r="H40" s="13">
        <v>1.3</v>
      </c>
      <c r="I40" s="16">
        <v>40000</v>
      </c>
      <c r="J40" s="17">
        <f t="shared" si="3"/>
        <v>416000</v>
      </c>
      <c r="K40" s="13" t="s">
        <v>221</v>
      </c>
    </row>
    <row r="41" spans="2:11" x14ac:dyDescent="0.3">
      <c r="B41" s="8">
        <v>26</v>
      </c>
      <c r="C41" s="9" t="s">
        <v>227</v>
      </c>
      <c r="D41" s="18" t="s">
        <v>228</v>
      </c>
      <c r="E41" s="8">
        <v>1</v>
      </c>
      <c r="F41" s="8">
        <v>3</v>
      </c>
      <c r="G41" s="27">
        <f t="shared" si="2"/>
        <v>3</v>
      </c>
      <c r="H41" s="8">
        <v>1.3</v>
      </c>
      <c r="I41" s="11">
        <v>50000</v>
      </c>
      <c r="J41" s="12">
        <f t="shared" si="3"/>
        <v>195000.00000000003</v>
      </c>
      <c r="K41" s="8" t="s">
        <v>221</v>
      </c>
    </row>
    <row r="42" spans="2:11" x14ac:dyDescent="0.3">
      <c r="B42" s="13">
        <v>27</v>
      </c>
      <c r="C42" s="14" t="s">
        <v>229</v>
      </c>
      <c r="D42" s="19" t="s">
        <v>230</v>
      </c>
      <c r="E42" s="13">
        <v>1</v>
      </c>
      <c r="F42" s="13">
        <v>3</v>
      </c>
      <c r="G42" s="28">
        <f t="shared" si="2"/>
        <v>3</v>
      </c>
      <c r="H42" s="13">
        <v>1.3</v>
      </c>
      <c r="I42" s="16">
        <v>50000</v>
      </c>
      <c r="J42" s="17">
        <f t="shared" si="3"/>
        <v>195000.00000000003</v>
      </c>
      <c r="K42" s="13" t="s">
        <v>221</v>
      </c>
    </row>
    <row r="43" spans="2:11" x14ac:dyDescent="0.3">
      <c r="B43" s="32"/>
      <c r="C43" s="33" t="s">
        <v>231</v>
      </c>
      <c r="D43" s="32"/>
      <c r="E43" s="32"/>
      <c r="F43" s="32"/>
      <c r="G43" s="34">
        <f>SUM(G37:G42)</f>
        <v>38</v>
      </c>
      <c r="H43" s="32"/>
      <c r="I43" s="32"/>
      <c r="J43" s="35">
        <f>SUM(J37:J42)</f>
        <v>2726000</v>
      </c>
      <c r="K43" s="34" t="s">
        <v>232</v>
      </c>
    </row>
    <row r="45" spans="2:11" x14ac:dyDescent="0.3">
      <c r="B45" s="3" t="s">
        <v>233</v>
      </c>
    </row>
    <row r="46" spans="2:11" x14ac:dyDescent="0.3">
      <c r="B46" s="7" t="s">
        <v>19</v>
      </c>
      <c r="C46" s="7" t="s">
        <v>234</v>
      </c>
      <c r="D46" s="7" t="s">
        <v>235</v>
      </c>
      <c r="E46" s="7" t="s">
        <v>159</v>
      </c>
      <c r="F46" s="7" t="s">
        <v>236</v>
      </c>
      <c r="G46" s="7" t="s">
        <v>237</v>
      </c>
      <c r="H46" s="7" t="s">
        <v>238</v>
      </c>
      <c r="I46" s="7" t="s">
        <v>163</v>
      </c>
    </row>
    <row r="47" spans="2:11" x14ac:dyDescent="0.3">
      <c r="B47" s="8">
        <v>28</v>
      </c>
      <c r="C47" s="9" t="s">
        <v>239</v>
      </c>
      <c r="D47" s="18" t="s">
        <v>240</v>
      </c>
      <c r="E47" s="8">
        <v>1</v>
      </c>
      <c r="F47" s="8">
        <v>1</v>
      </c>
      <c r="G47" s="27">
        <f>E47*F47</f>
        <v>1</v>
      </c>
      <c r="H47" s="11">
        <v>500000</v>
      </c>
      <c r="I47" s="12">
        <f>G47*H47</f>
        <v>500000</v>
      </c>
    </row>
    <row r="48" spans="2:11" x14ac:dyDescent="0.3">
      <c r="B48" s="13">
        <v>29</v>
      </c>
      <c r="C48" s="14" t="s">
        <v>241</v>
      </c>
      <c r="D48" s="19" t="s">
        <v>242</v>
      </c>
      <c r="E48" s="13">
        <v>1</v>
      </c>
      <c r="F48" s="13">
        <v>1</v>
      </c>
      <c r="G48" s="28">
        <f>E48*F48</f>
        <v>1</v>
      </c>
      <c r="H48" s="16">
        <v>300000</v>
      </c>
      <c r="I48" s="17">
        <f>G48*H48</f>
        <v>300000</v>
      </c>
    </row>
    <row r="49" spans="2:9" x14ac:dyDescent="0.3">
      <c r="B49" s="20"/>
      <c r="C49" s="21" t="s">
        <v>243</v>
      </c>
      <c r="D49" s="20"/>
      <c r="E49" s="20"/>
      <c r="F49" s="20"/>
      <c r="G49" s="20"/>
      <c r="H49" s="20"/>
      <c r="I49" s="23">
        <f>SUM(I47:I48)</f>
        <v>800000</v>
      </c>
    </row>
    <row r="51" spans="2:9" x14ac:dyDescent="0.3">
      <c r="C51" s="36" t="s">
        <v>244</v>
      </c>
      <c r="I51" s="37">
        <f>I9+J34+I49</f>
        <v>5849000</v>
      </c>
    </row>
    <row r="52" spans="2:9" x14ac:dyDescent="0.3">
      <c r="C52" s="36" t="s">
        <v>245</v>
      </c>
      <c r="I52" s="37">
        <f>I51*0.1</f>
        <v>584900</v>
      </c>
    </row>
    <row r="53" spans="2:9" x14ac:dyDescent="0.3">
      <c r="C53" s="38" t="s">
        <v>246</v>
      </c>
      <c r="I53" s="39">
        <f>I51+I52</f>
        <v>6433900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25"/>
  <sheetViews>
    <sheetView workbookViewId="0"/>
  </sheetViews>
  <sheetFormatPr defaultRowHeight="14.4" x14ac:dyDescent="0.3"/>
  <cols>
    <col min="1" max="1" width="3" customWidth="1"/>
    <col min="2" max="2" width="6" customWidth="1"/>
    <col min="3" max="3" width="45" customWidth="1"/>
    <col min="4" max="4" width="12" customWidth="1"/>
    <col min="5" max="5" width="14" customWidth="1"/>
    <col min="6" max="6" width="12" customWidth="1"/>
    <col min="7" max="7" width="20" customWidth="1"/>
    <col min="8" max="8" width="22" customWidth="1"/>
  </cols>
  <sheetData>
    <row r="1" spans="2:8" ht="18" x14ac:dyDescent="0.35">
      <c r="B1" s="1" t="s">
        <v>247</v>
      </c>
    </row>
    <row r="2" spans="2:8" x14ac:dyDescent="0.3">
      <c r="B2" s="2" t="s">
        <v>248</v>
      </c>
    </row>
    <row r="4" spans="2:8" x14ac:dyDescent="0.3">
      <c r="B4" s="7" t="s">
        <v>19</v>
      </c>
      <c r="C4" s="7" t="s">
        <v>249</v>
      </c>
      <c r="D4" s="7" t="s">
        <v>250</v>
      </c>
      <c r="E4" s="7" t="s">
        <v>175</v>
      </c>
      <c r="F4" s="7" t="s">
        <v>176</v>
      </c>
      <c r="G4" s="7" t="s">
        <v>238</v>
      </c>
      <c r="H4" s="7" t="s">
        <v>163</v>
      </c>
    </row>
    <row r="5" spans="2:8" x14ac:dyDescent="0.3">
      <c r="B5" s="3" t="s">
        <v>251</v>
      </c>
    </row>
    <row r="6" spans="2:8" x14ac:dyDescent="0.3">
      <c r="B6" s="8">
        <v>1</v>
      </c>
      <c r="C6" s="9" t="s">
        <v>252</v>
      </c>
      <c r="D6" s="8">
        <v>1</v>
      </c>
      <c r="E6" s="8">
        <v>6</v>
      </c>
      <c r="F6" s="27">
        <f t="shared" ref="F6:F18" si="0">D6*E6</f>
        <v>6</v>
      </c>
      <c r="G6" s="11">
        <v>30000</v>
      </c>
      <c r="H6" s="12">
        <f>'RAB - Biaya Produksi'!J13+'RAB - Biaya Produksi'!J14</f>
        <v>207000</v>
      </c>
    </row>
    <row r="7" spans="2:8" x14ac:dyDescent="0.3">
      <c r="B7" s="13">
        <v>2</v>
      </c>
      <c r="C7" s="14" t="s">
        <v>253</v>
      </c>
      <c r="D7" s="13">
        <v>2</v>
      </c>
      <c r="E7" s="13">
        <v>5</v>
      </c>
      <c r="F7" s="28">
        <f t="shared" si="0"/>
        <v>10</v>
      </c>
      <c r="G7" s="16">
        <v>50000</v>
      </c>
      <c r="H7" s="17">
        <f>'RAB - Biaya Produksi'!J15+'RAB - Biaya Produksi'!J16</f>
        <v>560000</v>
      </c>
    </row>
    <row r="8" spans="2:8" x14ac:dyDescent="0.3">
      <c r="B8" s="8">
        <v>3</v>
      </c>
      <c r="C8" s="9" t="s">
        <v>254</v>
      </c>
      <c r="D8" s="8">
        <v>1</v>
      </c>
      <c r="E8" s="8">
        <v>3</v>
      </c>
      <c r="F8" s="27">
        <f t="shared" si="0"/>
        <v>3</v>
      </c>
      <c r="G8" s="11">
        <v>50000</v>
      </c>
      <c r="H8" s="12">
        <f>'RAB - Biaya Produksi'!J17</f>
        <v>150000</v>
      </c>
    </row>
    <row r="9" spans="2:8" x14ac:dyDescent="0.3">
      <c r="B9" s="13">
        <v>4</v>
      </c>
      <c r="C9" s="14" t="s">
        <v>255</v>
      </c>
      <c r="D9" s="13">
        <v>2</v>
      </c>
      <c r="E9" s="13">
        <v>5</v>
      </c>
      <c r="F9" s="28">
        <f t="shared" si="0"/>
        <v>10</v>
      </c>
      <c r="G9" s="16">
        <v>50000</v>
      </c>
      <c r="H9" s="17">
        <f>'RAB - Biaya Produksi'!J18+'RAB - Biaya Produksi'!J19</f>
        <v>560000</v>
      </c>
    </row>
    <row r="10" spans="2:8" x14ac:dyDescent="0.3">
      <c r="B10" s="8">
        <v>5</v>
      </c>
      <c r="C10" s="9" t="s">
        <v>256</v>
      </c>
      <c r="D10" s="8">
        <v>2</v>
      </c>
      <c r="E10" s="8">
        <v>5</v>
      </c>
      <c r="F10" s="27">
        <f t="shared" si="0"/>
        <v>10</v>
      </c>
      <c r="G10" s="11">
        <v>50000</v>
      </c>
      <c r="H10" s="12">
        <f>'RAB - Biaya Produksi'!J20+'RAB - Biaya Produksi'!J21</f>
        <v>650000</v>
      </c>
    </row>
    <row r="11" spans="2:8" x14ac:dyDescent="0.3">
      <c r="B11" s="13">
        <v>6</v>
      </c>
      <c r="C11" s="14" t="s">
        <v>257</v>
      </c>
      <c r="D11" s="13">
        <v>2</v>
      </c>
      <c r="E11" s="13">
        <v>5</v>
      </c>
      <c r="F11" s="28">
        <f t="shared" si="0"/>
        <v>10</v>
      </c>
      <c r="G11" s="16">
        <v>50000</v>
      </c>
      <c r="H11" s="17">
        <f>'RAB - Biaya Produksi'!J22+'RAB - Biaya Produksi'!J23</f>
        <v>400000</v>
      </c>
    </row>
    <row r="12" spans="2:8" x14ac:dyDescent="0.3">
      <c r="B12" s="8">
        <v>7</v>
      </c>
      <c r="C12" s="9" t="s">
        <v>258</v>
      </c>
      <c r="D12" s="8">
        <v>2</v>
      </c>
      <c r="E12" s="8">
        <v>2</v>
      </c>
      <c r="F12" s="27">
        <f t="shared" si="0"/>
        <v>4</v>
      </c>
      <c r="G12" s="11">
        <v>50000</v>
      </c>
      <c r="H12" s="12">
        <f>'RAB - Biaya Produksi'!J24</f>
        <v>260000</v>
      </c>
    </row>
    <row r="13" spans="2:8" x14ac:dyDescent="0.3">
      <c r="B13" s="13">
        <v>8</v>
      </c>
      <c r="C13" s="14" t="s">
        <v>259</v>
      </c>
      <c r="D13" s="13">
        <v>2</v>
      </c>
      <c r="E13" s="13">
        <v>5</v>
      </c>
      <c r="F13" s="28">
        <f t="shared" si="0"/>
        <v>10</v>
      </c>
      <c r="G13" s="16">
        <v>50000</v>
      </c>
      <c r="H13" s="17">
        <f>'RAB - Biaya Produksi'!J25+'RAB - Biaya Produksi'!J26</f>
        <v>560000</v>
      </c>
    </row>
    <row r="14" spans="2:8" x14ac:dyDescent="0.3">
      <c r="B14" s="8">
        <v>9</v>
      </c>
      <c r="C14" s="9" t="s">
        <v>260</v>
      </c>
      <c r="D14" s="8">
        <v>2</v>
      </c>
      <c r="E14" s="8">
        <v>3</v>
      </c>
      <c r="F14" s="27">
        <f t="shared" si="0"/>
        <v>6</v>
      </c>
      <c r="G14" s="11">
        <v>50000</v>
      </c>
      <c r="H14" s="12">
        <f>'RAB - Biaya Produksi'!J27+'RAB - Biaya Produksi'!J28</f>
        <v>300000</v>
      </c>
    </row>
    <row r="15" spans="2:8" x14ac:dyDescent="0.3">
      <c r="B15" s="13">
        <v>10</v>
      </c>
      <c r="C15" s="14" t="s">
        <v>261</v>
      </c>
      <c r="D15" s="13">
        <v>2</v>
      </c>
      <c r="E15" s="13">
        <v>4</v>
      </c>
      <c r="F15" s="28">
        <f t="shared" si="0"/>
        <v>8</v>
      </c>
      <c r="G15" s="16">
        <v>50000</v>
      </c>
      <c r="H15" s="17">
        <f>'RAB - Biaya Produksi'!J29+'RAB - Biaya Produksi'!J30</f>
        <v>400000</v>
      </c>
    </row>
    <row r="16" spans="2:8" x14ac:dyDescent="0.3">
      <c r="B16" s="8">
        <v>11</v>
      </c>
      <c r="C16" s="9" t="s">
        <v>262</v>
      </c>
      <c r="D16" s="8">
        <v>2</v>
      </c>
      <c r="E16" s="8">
        <v>3</v>
      </c>
      <c r="F16" s="27">
        <f t="shared" si="0"/>
        <v>6</v>
      </c>
      <c r="G16" s="11">
        <v>50000</v>
      </c>
      <c r="H16" s="12">
        <f>'RAB - Biaya Produksi'!J31</f>
        <v>390000.00000000006</v>
      </c>
    </row>
    <row r="17" spans="2:8" x14ac:dyDescent="0.3">
      <c r="B17" s="13">
        <v>12</v>
      </c>
      <c r="C17" s="14" t="s">
        <v>263</v>
      </c>
      <c r="D17" s="13">
        <v>1</v>
      </c>
      <c r="E17" s="13">
        <v>4</v>
      </c>
      <c r="F17" s="28">
        <f t="shared" si="0"/>
        <v>4</v>
      </c>
      <c r="G17" s="16">
        <v>50000</v>
      </c>
      <c r="H17" s="17">
        <f>'RAB - Biaya Produksi'!J32</f>
        <v>260000</v>
      </c>
    </row>
    <row r="18" spans="2:8" x14ac:dyDescent="0.3">
      <c r="B18" s="8">
        <v>13</v>
      </c>
      <c r="C18" s="9" t="s">
        <v>264</v>
      </c>
      <c r="D18" s="8">
        <v>1</v>
      </c>
      <c r="E18" s="8">
        <v>5</v>
      </c>
      <c r="F18" s="27">
        <f t="shared" si="0"/>
        <v>5</v>
      </c>
      <c r="G18" s="11">
        <v>20000</v>
      </c>
      <c r="H18" s="12">
        <f>'RAB - Biaya Produksi'!J33</f>
        <v>100000</v>
      </c>
    </row>
    <row r="19" spans="2:8" x14ac:dyDescent="0.3">
      <c r="B19" s="20"/>
      <c r="C19" s="21" t="s">
        <v>265</v>
      </c>
      <c r="D19" s="20"/>
      <c r="E19" s="20"/>
      <c r="F19" s="29">
        <f>SUM(F6:F18)</f>
        <v>92</v>
      </c>
      <c r="G19" s="20"/>
      <c r="H19" s="23">
        <f>SUM(H6:H18)</f>
        <v>4797000</v>
      </c>
    </row>
    <row r="21" spans="2:8" x14ac:dyDescent="0.3">
      <c r="B21" s="3" t="s">
        <v>266</v>
      </c>
    </row>
    <row r="22" spans="2:8" x14ac:dyDescent="0.3">
      <c r="B22" s="8">
        <v>14</v>
      </c>
      <c r="C22" s="9" t="s">
        <v>267</v>
      </c>
      <c r="D22" s="8">
        <v>1</v>
      </c>
      <c r="E22" s="8">
        <v>1</v>
      </c>
      <c r="F22" s="27">
        <f>D22*E22</f>
        <v>1</v>
      </c>
      <c r="G22" s="11">
        <v>0</v>
      </c>
      <c r="H22" s="12">
        <f>F22*G22</f>
        <v>0</v>
      </c>
    </row>
    <row r="23" spans="2:8" x14ac:dyDescent="0.3">
      <c r="B23" s="13">
        <v>15</v>
      </c>
      <c r="C23" s="14" t="s">
        <v>268</v>
      </c>
      <c r="D23" s="13">
        <v>1</v>
      </c>
      <c r="E23" s="13">
        <v>1</v>
      </c>
      <c r="F23" s="28">
        <f>D23*E23</f>
        <v>1</v>
      </c>
      <c r="G23" s="16">
        <v>0</v>
      </c>
      <c r="H23" s="17">
        <f>F23*G23</f>
        <v>0</v>
      </c>
    </row>
    <row r="24" spans="2:8" x14ac:dyDescent="0.3">
      <c r="B24" s="8">
        <v>16</v>
      </c>
      <c r="C24" s="9" t="s">
        <v>168</v>
      </c>
      <c r="D24" s="8">
        <v>1</v>
      </c>
      <c r="E24" s="8">
        <v>1</v>
      </c>
      <c r="F24" s="27">
        <f>D24*E24</f>
        <v>1</v>
      </c>
      <c r="G24" s="11">
        <v>252000</v>
      </c>
      <c r="H24" s="12">
        <f>F24*G24</f>
        <v>252000</v>
      </c>
    </row>
    <row r="25" spans="2:8" x14ac:dyDescent="0.3">
      <c r="B25" s="20"/>
      <c r="C25" s="21" t="s">
        <v>269</v>
      </c>
      <c r="D25" s="20"/>
      <c r="E25" s="20"/>
      <c r="F25" s="29">
        <f>SUM(F22:F24)</f>
        <v>3</v>
      </c>
      <c r="G25" s="20"/>
      <c r="H25" s="23">
        <f>SUM(H22:H24)</f>
        <v>252000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F8"/>
  <sheetViews>
    <sheetView workbookViewId="0"/>
  </sheetViews>
  <sheetFormatPr defaultRowHeight="14.4" x14ac:dyDescent="0.3"/>
  <cols>
    <col min="1" max="1" width="3" customWidth="1"/>
    <col min="2" max="2" width="6" customWidth="1"/>
    <col min="3" max="3" width="32" customWidth="1"/>
    <col min="4" max="4" width="45" customWidth="1"/>
    <col min="5" max="5" width="20" customWidth="1"/>
    <col min="6" max="6" width="16" customWidth="1"/>
  </cols>
  <sheetData>
    <row r="1" spans="2:6" ht="18" x14ac:dyDescent="0.35">
      <c r="B1" s="1" t="s">
        <v>270</v>
      </c>
    </row>
    <row r="2" spans="2:6" x14ac:dyDescent="0.3">
      <c r="B2" s="2" t="s">
        <v>271</v>
      </c>
    </row>
    <row r="4" spans="2:6" x14ac:dyDescent="0.3">
      <c r="B4" s="7" t="s">
        <v>19</v>
      </c>
      <c r="C4" s="7" t="s">
        <v>272</v>
      </c>
      <c r="D4" s="7" t="s">
        <v>273</v>
      </c>
      <c r="E4" s="7" t="s">
        <v>274</v>
      </c>
      <c r="F4" s="7" t="s">
        <v>275</v>
      </c>
    </row>
    <row r="5" spans="2:6" x14ac:dyDescent="0.3">
      <c r="B5" s="8">
        <v>1</v>
      </c>
      <c r="C5" s="9" t="s">
        <v>276</v>
      </c>
      <c r="D5" s="10" t="s">
        <v>277</v>
      </c>
      <c r="E5" s="12">
        <v>193400</v>
      </c>
      <c r="F5" s="40">
        <f>(E5/$E$8)</f>
        <v>2.5138430342891309E-2</v>
      </c>
    </row>
    <row r="6" spans="2:6" ht="24" x14ac:dyDescent="0.3">
      <c r="B6" s="13">
        <v>2</v>
      </c>
      <c r="C6" s="14" t="s">
        <v>278</v>
      </c>
      <c r="D6" s="15" t="s">
        <v>279</v>
      </c>
      <c r="E6" s="17">
        <v>7500000</v>
      </c>
      <c r="F6" s="41">
        <f>(E6/$E$8)</f>
        <v>0.97486156965710868</v>
      </c>
    </row>
    <row r="7" spans="2:6" ht="24" x14ac:dyDescent="0.3">
      <c r="B7" s="8">
        <v>3</v>
      </c>
      <c r="C7" s="9" t="s">
        <v>280</v>
      </c>
      <c r="D7" s="10" t="s">
        <v>281</v>
      </c>
      <c r="E7" s="12">
        <v>0</v>
      </c>
      <c r="F7" s="40">
        <f>(E7/$E$8)</f>
        <v>0</v>
      </c>
    </row>
    <row r="8" spans="2:6" x14ac:dyDescent="0.3">
      <c r="B8" s="20"/>
      <c r="C8" s="21" t="s">
        <v>282</v>
      </c>
      <c r="D8" s="22" t="s">
        <v>283</v>
      </c>
      <c r="E8" s="23">
        <f>SUM(E5:E7)</f>
        <v>7693400</v>
      </c>
      <c r="F8" s="42">
        <f>SUM(F5:F7)</f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F17"/>
  <sheetViews>
    <sheetView tabSelected="1" topLeftCell="A2" workbookViewId="0"/>
  </sheetViews>
  <sheetFormatPr defaultRowHeight="14.4" x14ac:dyDescent="0.3"/>
  <cols>
    <col min="1" max="1" width="3" customWidth="1"/>
    <col min="2" max="2" width="24" customWidth="1"/>
    <col min="3" max="3" width="40" customWidth="1"/>
    <col min="4" max="4" width="30" customWidth="1"/>
    <col min="5" max="5" width="24" customWidth="1"/>
    <col min="6" max="6" width="35" customWidth="1"/>
  </cols>
  <sheetData>
    <row r="1" spans="2:6" ht="18" x14ac:dyDescent="0.35">
      <c r="B1" s="1" t="s">
        <v>284</v>
      </c>
    </row>
    <row r="2" spans="2:6" x14ac:dyDescent="0.3">
      <c r="B2" s="2" t="s">
        <v>285</v>
      </c>
    </row>
    <row r="4" spans="2:6" x14ac:dyDescent="0.3">
      <c r="B4" s="3" t="s">
        <v>286</v>
      </c>
    </row>
    <row r="5" spans="2:6" x14ac:dyDescent="0.3">
      <c r="B5" s="43" t="s">
        <v>287</v>
      </c>
      <c r="D5" s="44">
        <f>'RAB - Biaya Produksi'!I53</f>
        <v>6433900</v>
      </c>
    </row>
    <row r="6" spans="2:6" x14ac:dyDescent="0.3">
      <c r="B6" s="43" t="s">
        <v>288</v>
      </c>
      <c r="D6" s="44">
        <f>'RAB - Biaya Produksi'!J34</f>
        <v>4797000</v>
      </c>
    </row>
    <row r="7" spans="2:6" x14ac:dyDescent="0.3">
      <c r="B7" s="43" t="s">
        <v>289</v>
      </c>
      <c r="D7" s="44">
        <f>'RAB - Biaya Produksi'!I9</f>
        <v>252000</v>
      </c>
    </row>
    <row r="9" spans="2:6" x14ac:dyDescent="0.3">
      <c r="B9" s="36" t="s">
        <v>290</v>
      </c>
      <c r="C9" s="45">
        <v>0.3</v>
      </c>
      <c r="D9" s="46" t="s">
        <v>291</v>
      </c>
    </row>
    <row r="10" spans="2:6" x14ac:dyDescent="0.3">
      <c r="B10" s="36" t="s">
        <v>292</v>
      </c>
      <c r="C10" s="45">
        <v>0.5</v>
      </c>
      <c r="D10" s="46" t="s">
        <v>293</v>
      </c>
    </row>
    <row r="11" spans="2:6" x14ac:dyDescent="0.3">
      <c r="B11" s="36" t="s">
        <v>294</v>
      </c>
      <c r="C11" s="45">
        <v>0.25</v>
      </c>
      <c r="D11" s="46" t="s">
        <v>295</v>
      </c>
    </row>
    <row r="13" spans="2:6" x14ac:dyDescent="0.3">
      <c r="B13" s="3" t="s">
        <v>296</v>
      </c>
    </row>
    <row r="14" spans="2:6" x14ac:dyDescent="0.3">
      <c r="B14" s="7" t="s">
        <v>297</v>
      </c>
      <c r="C14" s="7" t="s">
        <v>298</v>
      </c>
      <c r="D14" s="7" t="s">
        <v>299</v>
      </c>
      <c r="E14" s="7" t="s">
        <v>300</v>
      </c>
      <c r="F14" s="7" t="s">
        <v>301</v>
      </c>
    </row>
    <row r="15" spans="2:6" ht="48" x14ac:dyDescent="0.3">
      <c r="B15" s="28" t="s">
        <v>302</v>
      </c>
      <c r="C15" s="15" t="s">
        <v>303</v>
      </c>
      <c r="D15" s="15" t="s">
        <v>304</v>
      </c>
      <c r="E15" s="17">
        <v>24587420</v>
      </c>
      <c r="F15" s="47" t="s">
        <v>305</v>
      </c>
    </row>
    <row r="16" spans="2:6" ht="36" x14ac:dyDescent="0.3">
      <c r="B16" s="27" t="s">
        <v>306</v>
      </c>
      <c r="C16" s="10" t="s">
        <v>307</v>
      </c>
      <c r="D16" s="10" t="s">
        <v>308</v>
      </c>
      <c r="E16" s="48" t="s">
        <v>309</v>
      </c>
      <c r="F16" s="49" t="s">
        <v>310</v>
      </c>
    </row>
    <row r="17" spans="2:6" ht="115.2" x14ac:dyDescent="0.3">
      <c r="B17" s="50" t="s">
        <v>311</v>
      </c>
      <c r="C17" s="51" t="s">
        <v>312</v>
      </c>
      <c r="D17" s="52" t="s">
        <v>313</v>
      </c>
      <c r="E17" s="39">
        <v>7500000</v>
      </c>
      <c r="F17" s="53" t="s">
        <v>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Ringkasan &amp; Profil Media</vt:lpstr>
      <vt:lpstr>Pertanyaan Wawancara</vt:lpstr>
      <vt:lpstr>RAB - Biaya Produksi</vt:lpstr>
      <vt:lpstr>PER FITUR</vt:lpstr>
      <vt:lpstr>Sumber Dana</vt:lpstr>
      <vt:lpstr>Skema Harga ke Klien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 ANDROID</cp:lastModifiedBy>
  <dcterms:created xsi:type="dcterms:W3CDTF">2026-10-05T08:24:22Z</dcterms:created>
  <dcterms:modified xsi:type="dcterms:W3CDTF">2026-10-06T12:37:03Z</dcterms:modified>
</cp:coreProperties>
</file>